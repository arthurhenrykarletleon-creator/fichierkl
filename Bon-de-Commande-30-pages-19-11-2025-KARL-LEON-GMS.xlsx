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hBEv7AXMCL/b4yXr87iOHgjCF+6OEgMqLX+enw4r42g="/>
    </ext>
  </extLst>
</workbook>
</file>

<file path=xl/sharedStrings.xml><?xml version="1.0" encoding="utf-8"?>
<sst xmlns="http://schemas.openxmlformats.org/spreadsheetml/2006/main" count="2916" uniqueCount="1810">
  <si>
    <t>44, rue des Garennes 57155 MARLY        contact@karletleon.com</t>
  </si>
  <si>
    <t>Prix HT en Euros - Franco 1500€HT Grand Est; 2000€HT reste de la France métropolitaine.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</si>
  <si>
    <t>Description</t>
  </si>
  <si>
    <t>Cond</t>
  </si>
  <si>
    <t>Unité</t>
  </si>
  <si>
    <t>EAN UC</t>
  </si>
  <si>
    <t>prix remisé HT unité</t>
  </si>
  <si>
    <t>prix remisé HT colis</t>
  </si>
  <si>
    <t>nombre de colis commandés</t>
  </si>
  <si>
    <t>TOTAL HT</t>
  </si>
  <si>
    <t>LES ENERGY DRINK</t>
  </si>
  <si>
    <t>NO LIMIT</t>
  </si>
  <si>
    <t>No Limit Classic canette</t>
  </si>
  <si>
    <t>25cl</t>
  </si>
  <si>
    <t>No Limit Classic PET BLANC</t>
  </si>
  <si>
    <t>1L</t>
  </si>
  <si>
    <t>No Limit Classic PET NOIR</t>
  </si>
  <si>
    <t>MONSTER</t>
  </si>
  <si>
    <t>Monster ULTRA BLACK</t>
  </si>
  <si>
    <t>50cl</t>
  </si>
  <si>
    <t>Monster ULTRA STRAWBERRY Dreams</t>
  </si>
  <si>
    <t>5061013944342/5056784901007</t>
  </si>
  <si>
    <t>Monster ULTRA VIOLET</t>
  </si>
  <si>
    <t>Monster ABSOLUTELY ZERO</t>
  </si>
  <si>
    <t>Monster HAMILTON ZERO</t>
  </si>
  <si>
    <t>Monster ULTRA FIESTA</t>
  </si>
  <si>
    <t>Monster ULTRA GOLD</t>
  </si>
  <si>
    <t>Monster ULTRA PARADISE</t>
  </si>
  <si>
    <t>Monster ULTRA PEACHY KEEN</t>
  </si>
  <si>
    <t>Monster ULTRA ROSA</t>
  </si>
  <si>
    <t>Monster ULTRA ZERO</t>
  </si>
  <si>
    <t>Monster SUGAR ZERO</t>
  </si>
  <si>
    <t>Monster ENERGY classic</t>
  </si>
  <si>
    <t>Monster AUSSIE LEMONADE</t>
  </si>
  <si>
    <t>Monster BAD APPLE</t>
  </si>
  <si>
    <t>Monster COSMIC PEACH</t>
  </si>
  <si>
    <t>Monster KHAOTIC</t>
  </si>
  <si>
    <t>Monster MANGO</t>
  </si>
  <si>
    <t>Monster MIXXD</t>
  </si>
  <si>
    <t>Monster MONARCH</t>
  </si>
  <si>
    <t>Monster NITRO</t>
  </si>
  <si>
    <t>Monster PACIFIC PUNCH</t>
  </si>
  <si>
    <t>Monster PIPELINE PUNCH</t>
  </si>
  <si>
    <t>Monster THE DOCTOR</t>
  </si>
  <si>
    <t>Monster ULTRA WATERMELON</t>
  </si>
  <si>
    <t>Monster VALENTINO ROSSI 46 sugarfree</t>
  </si>
  <si>
    <t>Monster RIO PUNCH</t>
  </si>
  <si>
    <t>Monster LANDO NORRIS</t>
  </si>
  <si>
    <t>Monster ULTRA FANTASY RUBY RED</t>
  </si>
  <si>
    <t>MONSTER Import (selon arrivages)</t>
  </si>
  <si>
    <t>Monster WHITE PINEAPPLE</t>
  </si>
  <si>
    <t>5060896628820</t>
  </si>
  <si>
    <t>Monster REHAB LEMONADE</t>
  </si>
  <si>
    <t>Monster REHAB PECHE</t>
  </si>
  <si>
    <t>Monster ULTRA RED</t>
  </si>
  <si>
    <t>Monster BLUE HAWAIIAN Import USA</t>
  </si>
  <si>
    <t>47,3cl</t>
  </si>
  <si>
    <t>0070847898245</t>
  </si>
  <si>
    <t>Monster VIKING BERRY JUICE Import USA</t>
  </si>
  <si>
    <t>0070847898320</t>
  </si>
  <si>
    <t>Monster DRAGON ICE TEA LEMON Import Brazil</t>
  </si>
  <si>
    <t>0070847034803</t>
  </si>
  <si>
    <t>RED BULL</t>
  </si>
  <si>
    <t>RED BULL France</t>
  </si>
  <si>
    <t>Red Bull 25cl x 24</t>
  </si>
  <si>
    <t>Red Bull 25cl x 24 (6 packs de 4 x 25cl)</t>
  </si>
  <si>
    <t>uc 9002490205973 pack de 4: 9002490100490</t>
  </si>
  <si>
    <t>Red Bull 35,5cl x 24</t>
  </si>
  <si>
    <t>35,5cl</t>
  </si>
  <si>
    <t>Red Bull 35,5cl x 24 (6 packs de 4 x 35,5cl)</t>
  </si>
  <si>
    <t>uc 9002490210717 pack de 4: 9002490210779</t>
  </si>
  <si>
    <t>Red Bull 47,3cl x 24</t>
  </si>
  <si>
    <t>Red Bull 25cl x 24 ABRICOT FRAISE</t>
  </si>
  <si>
    <t>Red Bull 25cl x 24 COCO</t>
  </si>
  <si>
    <t>Red Bull 25cl x 24 FRUIT du DRAGON</t>
  </si>
  <si>
    <t>Red Bull 25cl x 24 JUNEBERRY</t>
  </si>
  <si>
    <t>Red Bull 25cl x 24 MYRTILLE</t>
  </si>
  <si>
    <t>Red Bull 25cl x 24 PASTEQUE</t>
  </si>
  <si>
    <t>Red Bull 25cl x 24 SUMMER pêche blanche (fin de stock)</t>
  </si>
  <si>
    <t>Red Bull 25cl x 24 SPRING pamplemousse</t>
  </si>
  <si>
    <t>Redbull Winter 2025 POMME FUJI GINGEMBRE</t>
  </si>
  <si>
    <t>Redbull ICE MURE GIVREE VANILLE</t>
  </si>
  <si>
    <t>9002490274641</t>
  </si>
  <si>
    <t>Red Bull SANS SUCRE 25cl x 24</t>
  </si>
  <si>
    <t>Red Bull SANS SUCRE (6 packs de 4 x 25cl)</t>
  </si>
  <si>
    <t>uc 9002490208592 pack de 4: 9002490200381</t>
  </si>
  <si>
    <t>Red Bull SANS CALORIES 25cl x 24</t>
  </si>
  <si>
    <t>RED BULL Import SUIVI</t>
  </si>
  <si>
    <t>Red Bull TROPICAL 25cl x 24</t>
  </si>
  <si>
    <t>Red Bull PINK 25cl x 24</t>
  </si>
  <si>
    <t>0000090456237</t>
  </si>
  <si>
    <t>Red Bull LIME 25cl x 24</t>
  </si>
  <si>
    <t>0000090474477</t>
  </si>
  <si>
    <t>Red Bull PURPLE açaï 25cl x 24</t>
  </si>
  <si>
    <t>0000090454981</t>
  </si>
  <si>
    <t>Red Bull PECHE BLANCHE sugarfree</t>
  </si>
  <si>
    <t>0000090474538</t>
  </si>
  <si>
    <t xml:space="preserve">Red Bull RUBY </t>
  </si>
  <si>
    <t>0000090474088</t>
  </si>
  <si>
    <t xml:space="preserve">Red Bull BOUTEILLE VERRE </t>
  </si>
  <si>
    <t>9002490100056</t>
  </si>
  <si>
    <t>RED BULL Import Asie NON SUIVI (selon arrivages)</t>
  </si>
  <si>
    <t>Red Bull CASSIS MYRTILLE sugarfree Thailande</t>
  </si>
  <si>
    <t>8850228008171</t>
  </si>
  <si>
    <t>Red Bull POMME RAISIN sugarfree Thailande</t>
  </si>
  <si>
    <t>8850228007716</t>
  </si>
  <si>
    <t>Red Bull POMELOS sugarfree Thaïlande</t>
  </si>
  <si>
    <t>8850228008003</t>
  </si>
  <si>
    <t>Red Bull ANANAS CITRON sugarfree Thaïlande</t>
  </si>
  <si>
    <t>8850228008560</t>
  </si>
  <si>
    <t>Red Bull BERRY sugarfree Thailande</t>
  </si>
  <si>
    <t>8850228008744</t>
  </si>
  <si>
    <t>Red Bull PLUS sugarfree Thailande</t>
  </si>
  <si>
    <t>8888307120063</t>
  </si>
  <si>
    <t>ARIZONA energy</t>
  </si>
  <si>
    <t>ARIZONA MUCHO MANGO energy</t>
  </si>
  <si>
    <t>0613008768812</t>
  </si>
  <si>
    <t>ARIZONA WATERMELON energy</t>
  </si>
  <si>
    <t>0613008768843</t>
  </si>
  <si>
    <t>CARABAO energy drink</t>
  </si>
  <si>
    <t>Carabao Original</t>
  </si>
  <si>
    <t>CRAZY TIGER</t>
  </si>
  <si>
    <t>Crazy Tiger KISS ME canette</t>
  </si>
  <si>
    <t>Crazy Tiger Mini PET</t>
  </si>
  <si>
    <t>Crazy Tiger CERISE MIni PET</t>
  </si>
  <si>
    <t>Crazy Tiger TIKKY MANGO Mini PET</t>
  </si>
  <si>
    <t>Crazy Tiger PET</t>
  </si>
  <si>
    <t>Crazy Tiger CERISE PET</t>
  </si>
  <si>
    <t>Crazy Tiger TIKKY MANGO PET</t>
  </si>
  <si>
    <t>LES SOFTS</t>
  </si>
  <si>
    <t>POP'S DRINK</t>
  </si>
  <si>
    <t>Pop's FRUIT DU DRAGON canette</t>
  </si>
  <si>
    <t>33cl</t>
  </si>
  <si>
    <t>3701650200266</t>
  </si>
  <si>
    <t>Pops' GRENADE canette</t>
  </si>
  <si>
    <t>3701650200020</t>
  </si>
  <si>
    <t>Pop's MANGUE PASSION canette</t>
  </si>
  <si>
    <t>3701650200273</t>
  </si>
  <si>
    <t>Pop's PECHE canette</t>
  </si>
  <si>
    <t>3701650200006</t>
  </si>
  <si>
    <t>FREEZ</t>
  </si>
  <si>
    <t>FREEZ Ananas Coco</t>
  </si>
  <si>
    <t>27,5cl</t>
  </si>
  <si>
    <t>0762571500081</t>
  </si>
  <si>
    <t>FREEZ Blue Hawaï</t>
  </si>
  <si>
    <t>0762571500197</t>
  </si>
  <si>
    <t>FREEZ Citron Gingembre</t>
  </si>
  <si>
    <t>0762571500043</t>
  </si>
  <si>
    <t>FREEZ Fraise</t>
  </si>
  <si>
    <t>0762571500012</t>
  </si>
  <si>
    <t>FREEZ Fruits des Bois Mûres</t>
  </si>
  <si>
    <t>0762571500036</t>
  </si>
  <si>
    <t>FREEZ Grenadine</t>
  </si>
  <si>
    <t>0762571500029</t>
  </si>
  <si>
    <t>FREEZ Kiwi Citron Vert</t>
  </si>
  <si>
    <t>0762571500098</t>
  </si>
  <si>
    <t>FREEZ Litchi</t>
  </si>
  <si>
    <t>0762571500265</t>
  </si>
  <si>
    <t>FREEZ Mangue</t>
  </si>
  <si>
    <t>0762571500241</t>
  </si>
  <si>
    <t>FREEZ Mojito Fraise</t>
  </si>
  <si>
    <t>0762571500296 </t>
  </si>
  <si>
    <t>FREEZ Mojito Menthe</t>
  </si>
  <si>
    <t>0762571500128</t>
  </si>
  <si>
    <t>FREEZ Pomme Raisin</t>
  </si>
  <si>
    <t>0762571500067</t>
  </si>
  <si>
    <t>FREEZ Energy Drink</t>
  </si>
  <si>
    <t>0762571500203</t>
  </si>
  <si>
    <t>YASS  prebiotic soda</t>
  </si>
  <si>
    <t>YASS Cherry Cola</t>
  </si>
  <si>
    <t>YASS Citrus Twister</t>
  </si>
  <si>
    <t>YASS Pink Lemonade</t>
  </si>
  <si>
    <t>YASS Red'n Blue Berries</t>
  </si>
  <si>
    <t>PAT PATROUILLE</t>
  </si>
  <si>
    <t>PAT'PATROUILLE Tropical (6 packs de 4 x 20cl)</t>
  </si>
  <si>
    <t>20cl</t>
  </si>
  <si>
    <t>PAT'PATROUILLE Fruits Rouges (6 packs de 4 x 20cl)</t>
  </si>
  <si>
    <t>TWIST AND DRINK</t>
  </si>
  <si>
    <t>Twist &amp; Drink BAIES SAUVAGES</t>
  </si>
  <si>
    <t>Twist &amp; Drink CERISE</t>
  </si>
  <si>
    <t>Twist &amp; Drink FRAMBOISE</t>
  </si>
  <si>
    <t>HAPPY BASIL</t>
  </si>
  <si>
    <t>HAPPY BASIL Fraise</t>
  </si>
  <si>
    <t>29cl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</si>
  <si>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</si>
  <si>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</si>
  <si>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</si>
  <si>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</si>
  <si>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</si>
  <si>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</si>
  <si>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</si>
  <si>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</si>
  <si>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BUBBLE TEA</t>
  </si>
  <si>
    <t>OH MY GOD Pêche Fraise</t>
  </si>
  <si>
    <t>27cl</t>
  </si>
  <si>
    <t>OH MY GOD Passion Pomme</t>
  </si>
  <si>
    <t>OH MY GOD Citron Mangue</t>
  </si>
  <si>
    <t>OH MY GOD Framboise Myrtille</t>
  </si>
  <si>
    <t>BOBA JELLY POPPING Lychee Mango</t>
  </si>
  <si>
    <t>35cl</t>
  </si>
  <si>
    <t>BOBA JELLY POPPING Strawberry Peach</t>
  </si>
  <si>
    <t>CALYPSO</t>
  </si>
  <si>
    <t>CALYPSO Island Wave</t>
  </si>
  <si>
    <t>0079581184058</t>
  </si>
  <si>
    <t>CALYPSO Kiwi</t>
  </si>
  <si>
    <t>0079581184096</t>
  </si>
  <si>
    <t>CALYPSO Ocean Blue</t>
  </si>
  <si>
    <t>0079581184010</t>
  </si>
  <si>
    <t>CALYPSO Paradise Punch</t>
  </si>
  <si>
    <t>0079581184041</t>
  </si>
  <si>
    <t>CALYPSO Southern Peach</t>
  </si>
  <si>
    <t>0079581184034</t>
  </si>
  <si>
    <t>CALYPSO Triple Melon</t>
  </si>
  <si>
    <t>0079581184072</t>
  </si>
  <si>
    <t>PAGO verre 20cl</t>
  </si>
  <si>
    <t>PAGO Abricot verre 20cl</t>
  </si>
  <si>
    <t>à éditer</t>
  </si>
  <si>
    <t>PAGO Ace verre 20cl</t>
  </si>
  <si>
    <t>PAGO Ananas verre 20cl</t>
  </si>
  <si>
    <t>PAGO Banane verre 20cl</t>
  </si>
  <si>
    <t>PAGO Citron vert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</si>
  <si>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</si>
  <si>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</si>
  <si>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</si>
  <si>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</si>
  <si>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</si>
  <si>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</si>
  <si>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</si>
  <si>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</si>
  <si>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</si>
  <si>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</si>
  <si>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PAGO POP Canette</t>
  </si>
  <si>
    <t>PAGO POP Abricot Basilic canette</t>
  </si>
  <si>
    <t>PAGO POP Citron Hibiscus canette</t>
  </si>
  <si>
    <t>PAGO POP Fraise Menthe canette</t>
  </si>
  <si>
    <t>PAGO POP Mangue Gingembre canette</t>
  </si>
  <si>
    <t>MOGU MOGU PET 32cl</t>
  </si>
  <si>
    <t>MOGU MOGU Ananas</t>
  </si>
  <si>
    <t>32cl</t>
  </si>
  <si>
    <t>MOGU MOGU Barbe à Papa</t>
  </si>
  <si>
    <t>MOGU MOGU Bubble Gum</t>
  </si>
  <si>
    <t>MOGU MOGU Cassis</t>
  </si>
  <si>
    <t>MOGU MOGU Coco</t>
  </si>
  <si>
    <t>MOGU MOGU Fraise</t>
  </si>
  <si>
    <t>MOGU MOGU Framboise</t>
  </si>
  <si>
    <t>MOGU MOGU Goyave</t>
  </si>
  <si>
    <t>MOGU MOGU Litchi</t>
  </si>
  <si>
    <t>MOGU MOGU Mangue</t>
  </si>
  <si>
    <t>MOGU MOGU Melon</t>
  </si>
  <si>
    <t>MOGU MOGU Passion</t>
  </si>
  <si>
    <t>MOGU MOGU Pastèque</t>
  </si>
  <si>
    <t>MOGU MOGU Pêche</t>
  </si>
  <si>
    <t>MOGU MOGU Pina Colada</t>
  </si>
  <si>
    <t>MOGU MOGU Pomme</t>
  </si>
  <si>
    <t>MOGU MOGU Yaourt</t>
  </si>
  <si>
    <t>WARHEADS canette</t>
  </si>
  <si>
    <t>Warheads BLACK CHERRY</t>
  </si>
  <si>
    <t>Warheads BLUE RASPBERRY</t>
  </si>
  <si>
    <t>Warheads GREEN APPLE</t>
  </si>
  <si>
    <t>Warheads PEACH</t>
  </si>
  <si>
    <t>Warheads WATERMELON</t>
  </si>
  <si>
    <t>OCEAN BOMB canette</t>
  </si>
  <si>
    <t>OCEAN BOMB Cerise (ITACHI) canette</t>
  </si>
  <si>
    <t>OCEAN BOMB Goyave (KAKACHI) canette</t>
  </si>
  <si>
    <t>OCEAN BOMB Litchi (SAKURA) canette</t>
  </si>
  <si>
    <t>OCEAN BOMB Pamplemousse (SASUKE) canette</t>
  </si>
  <si>
    <t>OCEAN BOMB YUZU (NARUTO) canette</t>
  </si>
  <si>
    <t>RAMUNE PET</t>
  </si>
  <si>
    <t>Ramune ORIGINAL</t>
  </si>
  <si>
    <t>Ramune LITCHI</t>
  </si>
  <si>
    <t>Ramune MELON</t>
  </si>
  <si>
    <t>Ramune MYRTILLE</t>
  </si>
  <si>
    <t>Ramune SAKURA</t>
  </si>
  <si>
    <t>HATASODA</t>
  </si>
  <si>
    <t>Hatasoda LITCHI</t>
  </si>
  <si>
    <t>24</t>
  </si>
  <si>
    <t>Hatasoda ORIGINAL</t>
  </si>
  <si>
    <t>Hatasoda PASTEQUE</t>
  </si>
  <si>
    <t>Hatasoda PECHE</t>
  </si>
  <si>
    <t>25</t>
  </si>
  <si>
    <t>DADA canette</t>
  </si>
  <si>
    <t>DADA cerise canette</t>
  </si>
  <si>
    <t>DADA fraise canette</t>
  </si>
  <si>
    <t>DADA litchi canette</t>
  </si>
  <si>
    <t>DADA mangue canette</t>
  </si>
  <si>
    <t>DADA melon canette</t>
  </si>
  <si>
    <t>DADA mojito canette</t>
  </si>
  <si>
    <t>DADA pêche canette</t>
  </si>
  <si>
    <t>DADA pomme canette</t>
  </si>
  <si>
    <t>DADA cola canette</t>
  </si>
  <si>
    <t>DADA cola zéro canette</t>
  </si>
  <si>
    <t>DADA ice tea peach canette</t>
  </si>
  <si>
    <t>DADA lemon canette</t>
  </si>
  <si>
    <t>SKITTLES PET</t>
  </si>
  <si>
    <t>Skittles ORIGINAL PET</t>
  </si>
  <si>
    <t>41,4cl</t>
  </si>
  <si>
    <t>0850057068061</t>
  </si>
  <si>
    <t>Skittles SOUR PET</t>
  </si>
  <si>
    <t>0850057068047</t>
  </si>
  <si>
    <t>Skittles TROPICAL PET</t>
  </si>
  <si>
    <t>0850057068023</t>
  </si>
  <si>
    <t>Skittles WILD BERRY PET</t>
  </si>
  <si>
    <t>0850057068009</t>
  </si>
  <si>
    <t>ARIZONA PET</t>
  </si>
  <si>
    <t>Arizona BLUEBERRY</t>
  </si>
  <si>
    <t> 0613008730772</t>
  </si>
  <si>
    <t>Arizona FRUIT PUNCH</t>
  </si>
  <si>
    <t>0613008739027</t>
  </si>
  <si>
    <t>Arizona GREEN TEA PEACH</t>
  </si>
  <si>
    <t>0613008748234</t>
  </si>
  <si>
    <t>Arizona HALF&amp;HALF</t>
  </si>
  <si>
    <t>0613008734527</t>
  </si>
  <si>
    <t>Arizona ICED TEA LEMON</t>
  </si>
  <si>
    <t>0613008730697</t>
  </si>
  <si>
    <t>Arizona ICED TEA PEACH</t>
  </si>
  <si>
    <t>0613008730710</t>
  </si>
  <si>
    <t>Arizona KIWI FRAISE</t>
  </si>
  <si>
    <t> 0613008754501</t>
  </si>
  <si>
    <t>Arizona MANGO</t>
  </si>
  <si>
    <t>0613008739058</t>
  </si>
  <si>
    <t>Arizona GREEN TEA HONEY</t>
  </si>
  <si>
    <t>0613008730734</t>
  </si>
  <si>
    <t>Arizona GREEN TEA ZERO</t>
  </si>
  <si>
    <t>0613008734541</t>
  </si>
  <si>
    <t>Arizona POMEGRANATE</t>
  </si>
  <si>
    <t>0613008730758</t>
  </si>
  <si>
    <t>Arizona RED TEA</t>
  </si>
  <si>
    <t>0613008760205</t>
  </si>
  <si>
    <t>Arizona STRAWBERRY</t>
  </si>
  <si>
    <t>0613008739119</t>
  </si>
  <si>
    <t>Arizona WATERMELON</t>
  </si>
  <si>
    <t>0613008739089</t>
  </si>
  <si>
    <t>CAPRI-SUN</t>
  </si>
  <si>
    <t>Capri-Sun COLA</t>
  </si>
  <si>
    <t>uc 4000177035627 pack 4000177035634</t>
  </si>
  <si>
    <t>Capri-Sun FAIRY DRINK</t>
  </si>
  <si>
    <t>uc 4000177170700 pack 4000177170717</t>
  </si>
  <si>
    <t>Capri-Sun MULTI FRUITS</t>
  </si>
  <si>
    <t>uc 4000177023556 pack 4000177023518</t>
  </si>
  <si>
    <t>Capri-Sun MULTI VITAMINES ZÉRO</t>
  </si>
  <si>
    <t>uc 4000177030035 pack 4000177030042</t>
  </si>
  <si>
    <t>Capri-Sun MYSTIC DRAGON</t>
  </si>
  <si>
    <t>uc 3760079798310 pack 4000177034514</t>
  </si>
  <si>
    <t>Capri-Sun SAFARI</t>
  </si>
  <si>
    <t>uc 4000177601006 pack 4000177622001</t>
  </si>
  <si>
    <t>Capri-Sun ALARM</t>
  </si>
  <si>
    <t>uc 4000177171912 pack 4000177171929</t>
  </si>
  <si>
    <t>Capri-Sun CERISE</t>
  </si>
  <si>
    <t>uc 4000177996003 pack 4000177997000</t>
  </si>
  <si>
    <t>Capri-Sun JUNGLE DRINK</t>
  </si>
  <si>
    <t>uc 4000177026717 pack 000177026700</t>
  </si>
  <si>
    <t>Capri-Sun MULTI VITAMINES</t>
  </si>
  <si>
    <t>uc 4000177605004 pack 4000177619001</t>
  </si>
  <si>
    <t>Capri-Sun TROPICAL</t>
  </si>
  <si>
    <t>uc 4000177211311 pack 4000177211328</t>
  </si>
  <si>
    <t>Capri-Sun GRENADE Cerise REFERMABLE</t>
  </si>
  <si>
    <t>uc 4000177172629</t>
  </si>
  <si>
    <t>Capri-Sun MANGUE PASSION REFERMABLE</t>
  </si>
  <si>
    <t>uc 4000177172650</t>
  </si>
  <si>
    <t>Capri-Sun MULTI VITAMINES REFERMABLE</t>
  </si>
  <si>
    <t>uc 4000177162323</t>
  </si>
  <si>
    <t>Capri-Sun ORANGE PÊCHE REFERMABLE</t>
  </si>
  <si>
    <t>uc 4000177155448</t>
  </si>
  <si>
    <t>CACOLAC</t>
  </si>
  <si>
    <t>CACOLAC Original verre 20cl</t>
  </si>
  <si>
    <t>CACOLAC Original canette (4 packs 6x25cl)</t>
  </si>
  <si>
    <t>CACOLAC Dubaï Pistache canette 25cl</t>
  </si>
  <si>
    <t>MON PREMIER CACOLAC Original Briquettes (8 packs 3 x 20cl)</t>
  </si>
  <si>
    <t>MON PREMIER CACOLAC Original Brique 1L</t>
  </si>
  <si>
    <t>LES CAFÉS FROIDS</t>
  </si>
  <si>
    <t>STARBUCKS Triple Shot Expresso 300ml</t>
  </si>
  <si>
    <t>30cl</t>
  </si>
  <si>
    <t>Go Chill COOKIES AND CREAM 230ml</t>
  </si>
  <si>
    <t>23cl</t>
  </si>
  <si>
    <t>Go Chill CAPPUCCINO 230ml</t>
  </si>
  <si>
    <t>Go Chill CAFFE LATTE 230ml</t>
  </si>
  <si>
    <t>Go Chill CARAMEL MACCHIATO 230ml</t>
  </si>
  <si>
    <t>LES CANETTES CLASSIQUES</t>
  </si>
  <si>
    <t>COCA COLA REGULAR canette</t>
  </si>
  <si>
    <t> 5449000214911</t>
  </si>
  <si>
    <t>COCA COLA ZERO canette</t>
  </si>
  <si>
    <t>COCA COLA CHERRY canette</t>
  </si>
  <si>
    <t>COCA COLA LEMON canette (4 packs 6 x 33cl)</t>
  </si>
  <si>
    <t xml:space="preserve">05449000307590 
</t>
  </si>
  <si>
    <t>COCA COLA VANILLE canette (4 packs 6 x 33cl)</t>
  </si>
  <si>
    <t>PESPI REGULAR 33cl</t>
  </si>
  <si>
    <t>PEPSI CHERRY 33cl canette</t>
  </si>
  <si>
    <t>PESPI MAX 33cl canette</t>
  </si>
  <si>
    <t>TROPICO Original canette</t>
  </si>
  <si>
    <t>TROPICO Fraise Kiwi canette</t>
  </si>
  <si>
    <t>TROPICO Tropical canette</t>
  </si>
  <si>
    <t>HAWAI canette</t>
  </si>
  <si>
    <t>Dr PEPPER canette</t>
  </si>
  <si>
    <t xml:space="preserve">Dr PEPPER Cerise </t>
  </si>
  <si>
    <t>8435185954626</t>
  </si>
  <si>
    <t>SPRITE canette</t>
  </si>
  <si>
    <t>OASIS Tropical canette</t>
  </si>
  <si>
    <t>OASIS Pomme Cassis canette (4 packs 6 x 33cl)</t>
  </si>
  <si>
    <t>OASIS Pomme Poire canette</t>
  </si>
  <si>
    <t>OASIS Fraise Framboise canette (4 packs 6 x 33cl)</t>
  </si>
  <si>
    <t>OASIS Thé Pêche canette</t>
  </si>
  <si>
    <t>OASIS Thé Mangue Passion canette</t>
  </si>
  <si>
    <t>OASIS Citron Citron Vert canette</t>
  </si>
  <si>
    <t>FUZE Tea Pêche canette</t>
  </si>
  <si>
    <t>FUZE Tea Menthe Citron Vert canette</t>
  </si>
  <si>
    <t>ORANGINA canette</t>
  </si>
  <si>
    <t>FANTA Cassis canette</t>
  </si>
  <si>
    <t>FANTA Citron canette</t>
  </si>
  <si>
    <t>FANTA Orange canette</t>
  </si>
  <si>
    <t> 5449000214805</t>
  </si>
  <si>
    <t>FANTA Fruit Du Dragon canette</t>
  </si>
  <si>
    <t>FANTA Tropical Délice canette</t>
  </si>
  <si>
    <t>FANTA Tutti Frutti canette</t>
  </si>
  <si>
    <t>SCHWEPPES Tonic canette</t>
  </si>
  <si>
    <t>SCHWEPPES Agrum' canette</t>
  </si>
  <si>
    <t>SCHWEPPES Pomme canette</t>
  </si>
  <si>
    <t>SCHWEPPES Orange Passion canette</t>
  </si>
  <si>
    <t>SEVEN UP Original (4 packs 6 x 33cl)</t>
  </si>
  <si>
    <t>uc: 3168930159773 pack: 3168930178347</t>
  </si>
  <si>
    <t>SEVEN UP Cherry canette</t>
  </si>
  <si>
    <t>SEVEN UP Mojito canette</t>
  </si>
  <si>
    <t>SEVEN UP Exotique canette</t>
  </si>
  <si>
    <t>MAAZA Banane canette</t>
  </si>
  <si>
    <t>MAAZA Goyave canette</t>
  </si>
  <si>
    <t>MAAZA Mangue canette</t>
  </si>
  <si>
    <t>MAAZA Tropical canette</t>
  </si>
  <si>
    <t>MIRINDA Fraise canette</t>
  </si>
  <si>
    <t>MIRINDA Orange canette</t>
  </si>
  <si>
    <t>MINUTE MAID MULTIFRUITS canette</t>
  </si>
  <si>
    <t>MINUTE MAID ORANGE canette</t>
  </si>
  <si>
    <t>MINUTE MAID POMME canette</t>
  </si>
  <si>
    <t>LIPTON ICE TEA FRAMBOISE canette</t>
  </si>
  <si>
    <t>LIPTON ICE TEA PASTEQUE MENTHE canette</t>
  </si>
  <si>
    <t>LIPTON ICE TEA PECHE canette (4 packs 6 x 33cl)</t>
  </si>
  <si>
    <t>uc:3168930159896 pack:3168930175575</t>
  </si>
  <si>
    <t>LIPTON ICE TEA MENTHE GREEN CITRON VERT can.</t>
  </si>
  <si>
    <t>LIPTON ICE TEA TROPICAL canette</t>
  </si>
  <si>
    <t>LIPTONIC canette (4 packs 6 x 33cl)</t>
  </si>
  <si>
    <t>uc: 3168930159926 pack:3168930175544</t>
  </si>
  <si>
    <t>PANDA TEA pêche (6 packs de 4 x 25cl)</t>
  </si>
  <si>
    <t>3760293233987</t>
  </si>
  <si>
    <t>PANDA TEA citron (6 packs de 4 x 25cl)</t>
  </si>
  <si>
    <t>3760293234021</t>
  </si>
  <si>
    <t>San Pellegrino canette</t>
  </si>
  <si>
    <t>San Pellegrino Aranciata Rossa(4 packs 6x33cl) can.</t>
  </si>
  <si>
    <t>uc 8002270506802 pack 8002270506796</t>
  </si>
  <si>
    <t>San Pellegrino Limonata (4 packs 6x33cl) can.</t>
  </si>
  <si>
    <t>uc 8002270936777 pack 8002270936760</t>
  </si>
  <si>
    <t>San Pellegrino Limone &amp; Menta (4 packs 6x33cl) can.</t>
  </si>
  <si>
    <t>uc 8002270946783 pack 8002270946776</t>
  </si>
  <si>
    <t>San Pellegrino Melograno Arancia (4 packs 6x33cl) can.</t>
  </si>
  <si>
    <t>uc 8002270266805 pack 8002270266799</t>
  </si>
  <si>
    <t>LES BOISSONS IMPORTÉES (selon arrivages)</t>
  </si>
  <si>
    <t>COCA COLA bouteille Métal  Import Japon</t>
  </si>
  <si>
    <t>4902102038690</t>
  </si>
  <si>
    <t>FANTA Pêche Blanche bouteille métal Import Japon</t>
  </si>
  <si>
    <t>4902102144995</t>
  </si>
  <si>
    <t>PEPSI Strawberry and Cream zéro Import UK</t>
  </si>
  <si>
    <t>PEPSI Cream Soda sugarfree Import UK</t>
  </si>
  <si>
    <t>Dr PEPPER Strawberries &amp; Cream Import USA</t>
  </si>
  <si>
    <t>0078000037692</t>
  </si>
  <si>
    <t>Dr PEPPER Cherry Crush sugarfree Import UK</t>
  </si>
  <si>
    <t>5449000334237</t>
  </si>
  <si>
    <t>Dr PEPPER Cream soda Import USA</t>
  </si>
  <si>
    <t>0078000033489</t>
  </si>
  <si>
    <t>Dr PEPPER Vanilla float Import USA</t>
  </si>
  <si>
    <t>0078000023435</t>
  </si>
  <si>
    <t>FANTA Apple Import Egypte</t>
  </si>
  <si>
    <t>FANTA Lychee Import Malaisie</t>
  </si>
  <si>
    <t xml:space="preserve">FANTA Poire import UK </t>
  </si>
  <si>
    <t>5449000342263</t>
  </si>
  <si>
    <t>FANTA Twist  Import UK</t>
  </si>
  <si>
    <t xml:space="preserve">33cl </t>
  </si>
  <si>
    <t>5449000042101</t>
  </si>
  <si>
    <t>FANTA Watermelon. Import Chine</t>
  </si>
  <si>
    <t>6928804015454</t>
  </si>
  <si>
    <t>LIPTON Kombucha Fraise et Menthe Import UK</t>
  </si>
  <si>
    <t>LIPTON Kombucha Framboise Import UK</t>
  </si>
  <si>
    <t>LIPTON Kombucha Mangue Passion Import UK</t>
  </si>
  <si>
    <t>CHUPA CHUPS Sour Blueberry USA</t>
  </si>
  <si>
    <t>34,5cl</t>
  </si>
  <si>
    <t>CHUPA CHUPS Sour Green Apple USA</t>
  </si>
  <si>
    <t>MENTOS Berry Mix USA</t>
  </si>
  <si>
    <t>34cl</t>
  </si>
  <si>
    <t>MENTOS Salty Lychee USA</t>
  </si>
  <si>
    <t>MENTOS Tropical Mix USA</t>
  </si>
  <si>
    <t>OLD JAMAICA Ginger Beer Import UK</t>
  </si>
  <si>
    <t>LES CLASSIQUES</t>
  </si>
  <si>
    <t>COCA COLA REGULAR PET 50cl</t>
  </si>
  <si>
    <t>COCA COLA ZERO PET 50cl</t>
  </si>
  <si>
    <t>COCA COLA VANILLE PET 50cl</t>
  </si>
  <si>
    <t>0000042099697</t>
  </si>
  <si>
    <t>COCA COLA CHERRY PET 50cl</t>
  </si>
  <si>
    <t>0000054492790</t>
  </si>
  <si>
    <t>Dr PEPPER PET 50cl</t>
  </si>
  <si>
    <t>PEPSI REGULAR PET 50cl</t>
  </si>
  <si>
    <t>PEPSI MAX PET 50cl</t>
  </si>
  <si>
    <t>LIPTON ICE TEA PASTEQUE MENTHE PET 50cl</t>
  </si>
  <si>
    <t>LIPTON ICE TEA PECHE PET 50cl</t>
  </si>
  <si>
    <t>LIPTON ICE TEA PECHE ZÉRO PET 50cl</t>
  </si>
  <si>
    <t>LIPTON ICE TEA FRAMBOISE PET 50cl</t>
  </si>
  <si>
    <t>LIPTON ICE TEA MENTHE GREEN PET 50cl</t>
  </si>
  <si>
    <t>FUZE Tea Pêche PET 40cl</t>
  </si>
  <si>
    <t>40cl</t>
  </si>
  <si>
    <t>FUZE Tea Framboise Menthe PET 40cl</t>
  </si>
  <si>
    <t>FANTA Orange PET 50cl</t>
  </si>
  <si>
    <t>0000040822938</t>
  </si>
  <si>
    <t>FANTA Citron PET 50cl</t>
  </si>
  <si>
    <t>0000054492493</t>
  </si>
  <si>
    <t>FANTA Shokata zéro 50cl Import UE</t>
  </si>
  <si>
    <t>FANTA Tutti Frutti zéro 50cl Import UE</t>
  </si>
  <si>
    <t>5449000334657</t>
  </si>
  <si>
    <t>ORANGINA PET 50cl</t>
  </si>
  <si>
    <t>PULCO PET 50cl</t>
  </si>
  <si>
    <t>SCHWEPPES Agrum' PET 50cl</t>
  </si>
  <si>
    <t>SPRITE PET 50cl</t>
  </si>
  <si>
    <t>SAN PELLEGRINO</t>
  </si>
  <si>
    <t>VITTEL - Eau fruitée fraise framboise</t>
  </si>
  <si>
    <t>VITTEL - Eau fruitée pêche abricot</t>
  </si>
  <si>
    <t>CRISTALINE Cassis Pomme Framboise(4 packs 6 x 50cl)</t>
  </si>
  <si>
    <t>uc 3254381053927 pack 3254382053926</t>
  </si>
  <si>
    <t>CRISTALINE Citronnade (4 packs 6 x 50cl)</t>
  </si>
  <si>
    <t>uc 3254381058694 pack 3254382058693</t>
  </si>
  <si>
    <t>CRISTALINE Fraise (4 packs 6 x 50cl)</t>
  </si>
  <si>
    <t>uc 3254381048343 pack 3254382048342</t>
  </si>
  <si>
    <t>CRISTALINE Pêche (4 packs 6 x 50cl)</t>
  </si>
  <si>
    <t>uc 3254381048350 pack 3254382048359</t>
  </si>
  <si>
    <t>CRISTALINE Pomme Poire Pêche (4 packs 6 x 50cl)</t>
  </si>
  <si>
    <t>uc 3254381055846 pack 3254382055845</t>
  </si>
  <si>
    <t>CRISTALINE Tropical (4 packs 6 x 50cl)</t>
  </si>
  <si>
    <t>uc 3254381048893 pack 3254382048892</t>
  </si>
  <si>
    <t>JOKER Vitamin Water Citron Citron Vert</t>
  </si>
  <si>
    <t xml:space="preserve">JOKER Vitamin Water Fraise Framboise </t>
  </si>
  <si>
    <t xml:space="preserve">JOKER Vitamin Water Pêche Passion </t>
  </si>
  <si>
    <t>OASIS Pomme Cassis PET</t>
  </si>
  <si>
    <t>OASIS Pomme Poire PET</t>
  </si>
  <si>
    <t>OASIS Tropical PET</t>
  </si>
  <si>
    <t>OASIS Thé pêche PET</t>
  </si>
  <si>
    <t>TROPICO Original Exotique PET 40cl</t>
  </si>
  <si>
    <t>TROPICO Tropical PET 40cl</t>
  </si>
  <si>
    <t>LORINA CITRONNADE PET</t>
  </si>
  <si>
    <t>42cl</t>
  </si>
  <si>
    <t>LORINA Diabolo Menthe PET</t>
  </si>
  <si>
    <t>LORINA Grenade PET</t>
  </si>
  <si>
    <t>LORINA Limonade PET</t>
  </si>
  <si>
    <t>LORINA Myrtille PET</t>
  </si>
  <si>
    <t>LORINA Pêche Blanche PET</t>
  </si>
  <si>
    <t>MAAZA Goyave PET 50cl</t>
  </si>
  <si>
    <t>MAAZA Litchi PET 50cl</t>
  </si>
  <si>
    <t>MAAZA Mangue PET 50cl</t>
  </si>
  <si>
    <t>MAAZA Tropical PET 50cl</t>
  </si>
  <si>
    <t>LES ÉNERGISANTS</t>
  </si>
  <si>
    <t>PRIME</t>
  </si>
  <si>
    <t>PRIME Blue Raspberry PET</t>
  </si>
  <si>
    <t>PRIME Strawberry Watermelon PET</t>
  </si>
  <si>
    <t>PRIME Ice Pop PET</t>
  </si>
  <si>
    <t>PRIME Lemonade PET</t>
  </si>
  <si>
    <t>PRIME Berry PET</t>
  </si>
  <si>
    <t>12</t>
  </si>
  <si>
    <t>PRIME Lemon-Lime PET</t>
  </si>
  <si>
    <t>PRIME Collector PET</t>
  </si>
  <si>
    <t>POWERADE</t>
  </si>
  <si>
    <t>Powerade ICE STORM PET</t>
  </si>
  <si>
    <t>0000054492653</t>
  </si>
  <si>
    <t>Powerade CERISE PET</t>
  </si>
  <si>
    <t>0000042099017</t>
  </si>
  <si>
    <t>Powerade MANGUE GOLDEN PET</t>
  </si>
  <si>
    <t>0000054023857</t>
  </si>
  <si>
    <t>Powerade ZÉRO</t>
  </si>
  <si>
    <t>0000090370175</t>
  </si>
  <si>
    <t>VITAMIN WELL</t>
  </si>
  <si>
    <t>VITAMIN WELL antioxydant PET</t>
  </si>
  <si>
    <t> 7350042711604</t>
  </si>
  <si>
    <t>VITAMIN WELL boost PET</t>
  </si>
  <si>
    <t>VITAMIN WELL hydrate PET</t>
  </si>
  <si>
    <t>VITAMIN WELL react PET</t>
  </si>
  <si>
    <t>VITAMIN WELL reload PET</t>
  </si>
  <si>
    <t>NOCCO</t>
  </si>
  <si>
    <t>Nocco LIMON DES SOL (BCAA)</t>
  </si>
  <si>
    <t>Nocco MANGUE (BCAA)</t>
  </si>
  <si>
    <t>Nocco TROPICAL (BCAA)</t>
  </si>
  <si>
    <t>Nocco RAMONADE (FOCUS)</t>
  </si>
  <si>
    <t>Nocco GRAND SOUR (FOCUS)</t>
  </si>
  <si>
    <t>LES GRANDS FORMATS</t>
  </si>
  <si>
    <t>COCA COLA regular 1,25L import</t>
  </si>
  <si>
    <t>1,25L</t>
  </si>
  <si>
    <t>COCA COLA cherry 1,25L import</t>
  </si>
  <si>
    <t>COCA COLA zéro 1,25L import</t>
  </si>
  <si>
    <t>COCA COLA regular 1,5L import</t>
  </si>
  <si>
    <t>1,5L</t>
  </si>
  <si>
    <t>COCA COLA zéro 1,5L import</t>
  </si>
  <si>
    <t>Pop's PECHE PET 1L</t>
  </si>
  <si>
    <t>3701650200259</t>
  </si>
  <si>
    <t>Pop's FRUIT DU DRAGON PET 1L</t>
  </si>
  <si>
    <t>3701650200280</t>
  </si>
  <si>
    <t>Pop's GRENADE PET 1L</t>
  </si>
  <si>
    <t>3701650200242</t>
  </si>
  <si>
    <t>FUZE Tea PET 1,25L</t>
  </si>
  <si>
    <t>Lipton ICE TEA Pêche PET 1,25L</t>
  </si>
  <si>
    <t>Lipton ICE TEA Abricot Pêche PET 1,25L</t>
  </si>
  <si>
    <t>Lipton ICE TEA Framboise PET 1,25L</t>
  </si>
  <si>
    <t>Lipton ICE TEA Mangue PET 1,25L</t>
  </si>
  <si>
    <t>Lipton ICE TEA Pastèque PET 1,25L</t>
  </si>
  <si>
    <t>OASIS TROPICAL PET 2L</t>
  </si>
  <si>
    <t>2L</t>
  </si>
  <si>
    <t>Tropico Original Exotique PET 1,25L</t>
  </si>
  <si>
    <t>Tropico TROPICAL PET 1,25L</t>
  </si>
  <si>
    <t>LORINA Limonade PET 1,25L</t>
  </si>
  <si>
    <t>LORINA Diabolo Grenadine PET 1L</t>
  </si>
  <si>
    <t>LORINA Diabolo Pêche Blanche PET 1L</t>
  </si>
  <si>
    <t>Perrier PET 1L</t>
  </si>
  <si>
    <t>IFRI gazouz ANANAS PET 1,25L</t>
  </si>
  <si>
    <t>IFRI gazouz FRAMBOISE PET 1,25L</t>
  </si>
  <si>
    <t>IFRI gazouz ORANGE PET 1,25L</t>
  </si>
  <si>
    <t>Arizona MIEL PET 1L</t>
  </si>
  <si>
    <t> 0613008742348</t>
  </si>
  <si>
    <t>Arizona GRENADE PET 1L</t>
  </si>
  <si>
    <t> 0613008742379</t>
  </si>
  <si>
    <t>Arizona ICED TEA PECHE PET 1L</t>
  </si>
  <si>
    <t> 0613008742409</t>
  </si>
  <si>
    <t>MOGU MOGU Ananas PET 1L</t>
  </si>
  <si>
    <t>MOGU MOGU Cassis PET 1L</t>
  </si>
  <si>
    <t>MOGU MOGU Coco PET 1L</t>
  </si>
  <si>
    <t>MOGU MOGU Fraise PET 1L</t>
  </si>
  <si>
    <t>MOGU MOGU Litchi PET 1L</t>
  </si>
  <si>
    <t>MOGU MOGU Mangue PET 1L</t>
  </si>
  <si>
    <t>MOGU MOGU Melon PET 1L</t>
  </si>
  <si>
    <t>MOGU MOGU Pêche PET 1L</t>
  </si>
  <si>
    <t>LES BIÈRES</t>
  </si>
  <si>
    <t>BIÈRES CANETTES ALU</t>
  </si>
  <si>
    <t>Starberg 4° canette</t>
  </si>
  <si>
    <t>Starberg 7° canette (fin de stock)</t>
  </si>
  <si>
    <t>Starberg 8,5° canette</t>
  </si>
  <si>
    <t>St Omer 5°canette</t>
  </si>
  <si>
    <t>St Omer 8°canette</t>
  </si>
  <si>
    <t>St Omer 10°canette</t>
  </si>
  <si>
    <t>Sombrero 5,9° canette</t>
  </si>
  <si>
    <t>Sombrero RED 5,9° canette</t>
  </si>
  <si>
    <t>Sombrero VODKA 5,9° canette</t>
  </si>
  <si>
    <t>Sombrero RHUM 5,9°canette</t>
  </si>
  <si>
    <t>Sombrero MOJITO 5,9° canette</t>
  </si>
  <si>
    <t>Sombrero TROPICAL 5,9° canette</t>
  </si>
  <si>
    <t>Amsterdam NAVIGATOR 8° canette</t>
  </si>
  <si>
    <t>Amsterdam MAXIMATOR 11,6° canette</t>
  </si>
  <si>
    <t>0000087167993</t>
  </si>
  <si>
    <t>Amsterdam DETONATOR 8° canette</t>
  </si>
  <si>
    <t>Bavaria Original 8,6°canette</t>
  </si>
  <si>
    <t>Bavaria Original 8,6°canette (6 packs de 4 x 50cl)</t>
  </si>
  <si>
    <t>8714800035187/pack de 4: 8714800038461</t>
  </si>
  <si>
    <r>
      <rPr>
        <rFont val="Arial"/>
        <color theme="1"/>
        <sz val="7.0"/>
      </rPr>
      <t xml:space="preserve">Bavaria Original 8,6°canette </t>
    </r>
    <r>
      <rPr>
        <rFont val="Arial"/>
        <b/>
        <color theme="1"/>
        <sz val="7.0"/>
      </rPr>
      <t>BOX</t>
    </r>
    <r>
      <rPr>
        <rFont val="Arial"/>
        <color theme="1"/>
        <sz val="7.0"/>
      </rPr>
      <t xml:space="preserve"> de 96 packs (4 x 50cl)</t>
    </r>
  </si>
  <si>
    <t>4x50cl</t>
  </si>
  <si>
    <t>pack de 4: 8714800038461</t>
  </si>
  <si>
    <r>
      <rPr>
        <rFont val="Arial"/>
        <color theme="1"/>
        <sz val="7.0"/>
      </rPr>
      <t xml:space="preserve">Bavaria Original 8,6°canette </t>
    </r>
    <r>
      <rPr>
        <rFont val="Arial"/>
        <b/>
        <color theme="1"/>
        <sz val="7.0"/>
      </rPr>
      <t>BOX</t>
    </r>
    <r>
      <rPr>
        <rFont val="Arial"/>
        <color theme="1"/>
        <sz val="7.0"/>
      </rPr>
      <t xml:space="preserve"> 36 plat. de 18x50cl</t>
    </r>
  </si>
  <si>
    <t>18x50cl</t>
  </si>
  <si>
    <t>Bavaria Gold 6,5° canette</t>
  </si>
  <si>
    <t>Bavaria Amber 7,9° canette</t>
  </si>
  <si>
    <t>Bavaria IPA 7° canette</t>
  </si>
  <si>
    <t>Bavaria Black 7,9° canette</t>
  </si>
  <si>
    <t>Bavaria Extrême 10,5° canette</t>
  </si>
  <si>
    <t>Bavaria Cherry 7,2° canette</t>
  </si>
  <si>
    <t>Bavaria Cherry PACK (6 packs de 4 x 50cl)</t>
  </si>
  <si>
    <t>uc 8714800050098 pack de 4: 8714800052573</t>
  </si>
  <si>
    <t>Cornet Bière blonde Belge 8,5°</t>
  </si>
  <si>
    <t>Brewdog PUNK IPA 5,4° canette</t>
  </si>
  <si>
    <t>Heineken 5° canette (6 packs de 4 x 50cl)</t>
  </si>
  <si>
    <t>3119780268696/pack de 4: 3119780268801</t>
  </si>
  <si>
    <t>Heineken 5° canette (4 packs de 6 x 33cl)</t>
  </si>
  <si>
    <t>3119780259625/pack de 6: 3119780268054</t>
  </si>
  <si>
    <t>Desperados 5,9 ° canette (6 packs de 4 x 50cl)</t>
  </si>
  <si>
    <t>3119780266401/pack de 4: 3119780266418</t>
  </si>
  <si>
    <t>1664 5,5° canette (6 packs de 4 x 50cl)</t>
  </si>
  <si>
    <t>3080210003319/pack de 4: 3080210004446</t>
  </si>
  <si>
    <t>Kronenbourg 4,2° canette</t>
  </si>
  <si>
    <t>Kronenbourg 7,2° canette</t>
  </si>
  <si>
    <t>La Raoul 7° canette</t>
  </si>
  <si>
    <t>Delirium Tremens 8,5° canette</t>
  </si>
  <si>
    <t>Delirium RED 8° canette</t>
  </si>
  <si>
    <t>Goudale blonde 7,2° canette (6 packs de 4 x 50cl)</t>
  </si>
  <si>
    <t>Goudale ambrée 7,2° canette</t>
  </si>
  <si>
    <t>Goudale IPA 7,2° canette</t>
  </si>
  <si>
    <t>Goudale rubis 5° canette</t>
  </si>
  <si>
    <t xml:space="preserve">3261570008545
</t>
  </si>
  <si>
    <t>Belzebuth RED 8,5° canette</t>
  </si>
  <si>
    <t>Belzebuth ORIGINAL 11,8° canette</t>
  </si>
  <si>
    <t>Démon 12° canette</t>
  </si>
  <si>
    <t>Démon MEGA 16° canette</t>
  </si>
  <si>
    <t>Bière du Corbeau 9° canette</t>
  </si>
  <si>
    <t>Grimbergen blonde 6,7° canette</t>
  </si>
  <si>
    <t>Leffe blonde 6,6° canette</t>
  </si>
  <si>
    <t>Leffe ruby 5° canette</t>
  </si>
  <si>
    <t>Rince Cochon blonde canette 8,5°</t>
  </si>
  <si>
    <t>Rince Cochon rouge canette 7,5°</t>
  </si>
  <si>
    <t>Rince Cochon triple canette 9,5°</t>
  </si>
  <si>
    <t>Chouffe blonde 8° canette</t>
  </si>
  <si>
    <t>Chouffe cherry 8° canette</t>
  </si>
  <si>
    <t>BIÈRES VERRE : GRANDS FORMATS</t>
  </si>
  <si>
    <t>Goudale blonde 7,2° 75cl</t>
  </si>
  <si>
    <t>75cl</t>
  </si>
  <si>
    <t>Goudale ambrée 7,2° 75cl</t>
  </si>
  <si>
    <t>Goudale IPA 7,2° 75cl</t>
  </si>
  <si>
    <t>Goudale BIO 7,2° 75cl</t>
  </si>
  <si>
    <t>Goudale rubis 5° 75cl</t>
  </si>
  <si>
    <t xml:space="preserve">3261570008507
</t>
  </si>
  <si>
    <t>Goudale Triple 9° 75cl</t>
  </si>
  <si>
    <t>Goudale La G Grand Cru 7,9° 75cl</t>
  </si>
  <si>
    <t>Goudale La G Grand Cru RHUM 7,9° 75cl</t>
  </si>
  <si>
    <t>Kékette blonde 6,2° 75cl</t>
  </si>
  <si>
    <t> 3760138360106</t>
  </si>
  <si>
    <t>Kékette ambrée 6,9° 75cl</t>
  </si>
  <si>
    <t>FESSÉE triple 8° 75cl</t>
  </si>
  <si>
    <t> 3770006626074</t>
  </si>
  <si>
    <t>La Moche blonde 6° 75cl</t>
  </si>
  <si>
    <t>Cervoise des Ancêtres 9° blonde 75cl</t>
  </si>
  <si>
    <t>Rince Cochon blonde 8,5° 75cl</t>
  </si>
  <si>
    <t>Rince Cochon rouge 7,5° 75cl</t>
  </si>
  <si>
    <t>Rince Cochon triple 9,5° 75cl</t>
  </si>
  <si>
    <t>Chimay Grande Réserve 9° 75cl</t>
  </si>
  <si>
    <t>Chouffe blonde 8° 75cl</t>
  </si>
  <si>
    <t>Chouffe cherry 8° 75cl</t>
  </si>
  <si>
    <t>Chouffe houblon IPA 9° 75cl</t>
  </si>
  <si>
    <t>Chouffe MAC brune 8° 75cl</t>
  </si>
  <si>
    <t>Chouffe BIG blonde 8° 1,5L</t>
  </si>
  <si>
    <t>Duvel 8,5° 75cl</t>
  </si>
  <si>
    <t>Duvel triple 9,5° 75cl</t>
  </si>
  <si>
    <t>Maredsous blonde 6° 75cl</t>
  </si>
  <si>
    <t>Maredsous triple 10° 75cl</t>
  </si>
  <si>
    <t>Lindemans FARO 4,5° 65cl</t>
  </si>
  <si>
    <t>65cl</t>
  </si>
  <si>
    <t>Lindemans KRIEK 4,5° 65cl</t>
  </si>
  <si>
    <t>Leffe blonde 6,6° 75cl</t>
  </si>
  <si>
    <t>Leffe ruby 5° 75cl</t>
  </si>
  <si>
    <t>Kingwood Héritage blonde Triple10°</t>
  </si>
  <si>
    <t>Bière du Corbeau 9° blonde 75cl</t>
  </si>
  <si>
    <t>Triple Secret des Moines 8° blonde 75cl</t>
  </si>
  <si>
    <t>Heineken 5° 65cl</t>
  </si>
  <si>
    <t>Desperados 5,9° 65cl</t>
  </si>
  <si>
    <t>3 MONTS 8,5° 75cl</t>
  </si>
  <si>
    <t>CH'TI blonde 6,4° 75cl</t>
  </si>
  <si>
    <t>Tripel Karmeliet 8,4° 75cl</t>
  </si>
  <si>
    <t>Bière KWAK 8,4° 75cl</t>
  </si>
  <si>
    <t>BIÈRES VERRE : PETITS FORMATS</t>
  </si>
  <si>
    <t>Goudale blonde 7,2° 33cl</t>
  </si>
  <si>
    <t>Goudale ambrée 7,2° 33cl</t>
  </si>
  <si>
    <t>Goudale IPA 7,2° 33cl</t>
  </si>
  <si>
    <t>Duvel blonde 8,5° 33cl</t>
  </si>
  <si>
    <t>Duvel Tripel Hop 9,5° 33cl</t>
  </si>
  <si>
    <t>Chouffe blonde 8° 33cl</t>
  </si>
  <si>
    <t>Chouffe cherry 8° 33cl</t>
  </si>
  <si>
    <t>Triple Secret des Moines blonde 8° 33cl</t>
  </si>
  <si>
    <t>Kasteel Rouge 8° 33cl</t>
  </si>
  <si>
    <t>Chimay Rouge 7° 33cl</t>
  </si>
  <si>
    <t>Chimay Bleue 9° 33cl</t>
  </si>
  <si>
    <t>BIÈRES VERRE: PACKS SUIVIS</t>
  </si>
  <si>
    <t>Bavaria 8,6° original VERRE (4 packs de 6 x 25cl)</t>
  </si>
  <si>
    <t>La Raoul 7° (4 packs de 6 x 25cl)</t>
  </si>
  <si>
    <t>Goudale blonde 7,2° (4 packs de 6 x 25cl)</t>
  </si>
  <si>
    <t>Goudale ambrée 7,2° (4 packs de 6 x 25cl)</t>
  </si>
  <si>
    <t>Goudale triple 9° (4 packs de 6 x 25cl)</t>
  </si>
  <si>
    <t>Goudale blanche 4,5° (4 packs de 6 x 25cl)</t>
  </si>
  <si>
    <t>Goudale hop lager 5,2° (4 packs de 6 x 25cl)</t>
  </si>
  <si>
    <t>Goudale BIO blonde 7,2°(4 packs de 6 x 25cl)</t>
  </si>
  <si>
    <t>Goudale sans alcool 0° (4 packs de 6 x 25cl)</t>
  </si>
  <si>
    <t>Goudale Rubis 5° (4 packs de 6 x 25cl)</t>
  </si>
  <si>
    <t>Saint Omer 5° (2 packs de 10 x 25cl)</t>
  </si>
  <si>
    <t>Saint Omer PANACHÉ &lt;0,5°(2 packs de 10 x 25cl)</t>
  </si>
  <si>
    <t>Saint Omer PANACHÉ Grenadine &lt;0,5°(4 packs de 6 x 25cl)</t>
  </si>
  <si>
    <t>Saint Omer KRIEK 2,8° (4 packs de 6 x 25cl)</t>
  </si>
  <si>
    <t>Saint Omer FRAMBOISE 2,8° (4 packs de 6 x 25cl)</t>
  </si>
  <si>
    <t>GOUDALE Blonde 7,2° (20 x 25cl)</t>
  </si>
  <si>
    <t>BIÈRE EN FÛT</t>
  </si>
  <si>
    <t>GOUDALE Blonde 7,2° FÛT 5L</t>
  </si>
  <si>
    <t>5L</t>
  </si>
  <si>
    <t>Triple Secret des Moines 8° FÛT 5L</t>
  </si>
  <si>
    <t>BIÈRES VERRE: PACKS NON SUIVIS</t>
  </si>
  <si>
    <t>Grimbergen Blonde 6,7° (4 packs de 6 x 25cl)</t>
  </si>
  <si>
    <t>Desperados Red PACK6 (4 packs 6 x 33cl)</t>
  </si>
  <si>
    <t>Desperados Tropical (4 packs 6 x 33cl)</t>
  </si>
  <si>
    <t>Desperados (12 x 33cl)</t>
  </si>
  <si>
    <t>3119783007483/pack: 3119780268382</t>
  </si>
  <si>
    <t>Desperados RED (12 x 33cl)</t>
  </si>
  <si>
    <t>Heineken 5° (4 packs 6 x 25cl)</t>
  </si>
  <si>
    <t>Heineken 5° (12 x 25cl)</t>
  </si>
  <si>
    <t>Heineken 5° (20 x 25cl)</t>
  </si>
  <si>
    <t>Heineken 5° (24 x 25cl)</t>
  </si>
  <si>
    <t>Kronenbourg 4,2° (2 packs 10 x 25cl)</t>
  </si>
  <si>
    <t>3080216047690</t>
  </si>
  <si>
    <t>Leffe blonde 6,6° (4 packs de 6 x 25cl)</t>
  </si>
  <si>
    <t>Leffe ruby 5° (4 packs de 6 x 25cl)</t>
  </si>
  <si>
    <t>Leffe rituel (4 packs de 6 x 25cl)</t>
  </si>
  <si>
    <t>5410228191551</t>
  </si>
  <si>
    <t>Leffe blonde 6,6° (12x 25cl)</t>
  </si>
  <si>
    <t>Leffe ruby 5° (12x 25cl)</t>
  </si>
  <si>
    <t>LES VINS</t>
  </si>
  <si>
    <t>Sélection Vin Rouge</t>
  </si>
  <si>
    <t>Vieux Papes rouge</t>
  </si>
  <si>
    <t>Baron de Lestac rouge</t>
  </si>
  <si>
    <t>Mouton Cadet rouge</t>
  </si>
  <si>
    <t>Languedoc Les Darons by Jeff Carrel rouge</t>
  </si>
  <si>
    <t>Médoc E.Reullier rouge</t>
  </si>
  <si>
    <t>3211209189800</t>
  </si>
  <si>
    <t>Lussac St-Emilion E.Reullier rouge</t>
  </si>
  <si>
    <t>3211200170470</t>
  </si>
  <si>
    <t>Saint-Emilion Grand Cru Cellier des Dieux rouge</t>
  </si>
  <si>
    <t>Saint-Estèphe Saint-Estèphe Château PLANTIER ROSE Cru Bourgois</t>
  </si>
  <si>
    <t>Sang-Mêlé rouge</t>
  </si>
  <si>
    <t>Démon Noir</t>
  </si>
  <si>
    <t>IGP Hérault Petites Balades rouge</t>
  </si>
  <si>
    <t>IGP Méditerranée Divina Vinum BIO rouge</t>
  </si>
  <si>
    <t>AOP Corbières Les Herbes Hautes BIO by Jeff Carrel rouge</t>
  </si>
  <si>
    <t>IGP Pays d'Hérault De Fil en Aiguille BIO sans soufre</t>
  </si>
  <si>
    <t> 3700290115503</t>
  </si>
  <si>
    <t>La Tire by Jeff Carrel Fitou rouge</t>
  </si>
  <si>
    <t>  3700290127759</t>
  </si>
  <si>
    <t>Vieille Mule by Jeff Carrel IGP Côtes Catalanes rouge</t>
  </si>
  <si>
    <t>Bistrot Chic Syrah Marselan rouge</t>
  </si>
  <si>
    <t>Vacqueyras DELAS</t>
  </si>
  <si>
    <t>Crozes Hermitage DELAS Domaine des Grands Chemins</t>
  </si>
  <si>
    <t>3359950373113</t>
  </si>
  <si>
    <t>L'Enclos Minervois BIO rouge</t>
  </si>
  <si>
    <t>Lèche moi le grappe rouge</t>
  </si>
  <si>
    <t>La Belle Rouge BIO Minervois AOC</t>
  </si>
  <si>
    <t>Le Gros Rouge Qui Tâche Pays d'Hérault Alicante-Syrah</t>
  </si>
  <si>
    <t>Cahors Little Fuck 100% Malbec</t>
  </si>
  <si>
    <t>La Closerie du Banquier 500 francs rouge</t>
  </si>
  <si>
    <t>Sélection Vin Rosé</t>
  </si>
  <si>
    <t>LEOS Patrick BRUEL rosé</t>
  </si>
  <si>
    <t>Puech Haut PREMIERE rosé</t>
  </si>
  <si>
    <t xml:space="preserve">Puech Haut ARGALI rosé </t>
  </si>
  <si>
    <t>Pays d'Oc La Closerie du Banquier 50 francs rosé</t>
  </si>
  <si>
    <t>IGP Ile de Beauté</t>
  </si>
  <si>
    <t>Corse AOP</t>
  </si>
  <si>
    <t>Rosato delle Venezie rosé</t>
  </si>
  <si>
    <t>Listel gris rosé</t>
  </si>
  <si>
    <t>Rosé GARCIA</t>
  </si>
  <si>
    <t>Rosé PISCINE</t>
  </si>
  <si>
    <t>La Cabane du PYLA IGP Atlantique rosé</t>
  </si>
  <si>
    <t>IGP Terre du Midi Les Haytières rosé</t>
  </si>
  <si>
    <t>IGP Atlantique L'Océade rosé</t>
  </si>
  <si>
    <t>IGP Hérault Petites Balades rosé</t>
  </si>
  <si>
    <t>Sélection Vin Rosé PROVENCE</t>
  </si>
  <si>
    <t>Côtes de Provence Les Rozallées AOP rosé</t>
  </si>
  <si>
    <t>CRAZY TROPEZ Méditerranée rosé</t>
  </si>
  <si>
    <t>WHITE TROPEZ Côtes de Provence rosé !2022! Promo</t>
  </si>
  <si>
    <t>M de MINUTY Côtes de Provence rosé</t>
  </si>
  <si>
    <t>MIRAVAL Provence rosé</t>
  </si>
  <si>
    <t>STUDIO By MIRAVAL Méditerranée rosé</t>
  </si>
  <si>
    <t>BILLETTE Côtes de Provence rosé</t>
  </si>
  <si>
    <t>Sélection Vin Blanc Sec</t>
  </si>
  <si>
    <t>Pinot Gris delle Venezie blanc</t>
  </si>
  <si>
    <t>Saint Véran Terres Secrètes Bourgogne blanc</t>
  </si>
  <si>
    <t>IGP Atlantique L'Océade blanc</t>
  </si>
  <si>
    <t>IGP Hérault Petites Balades blanc</t>
  </si>
  <si>
    <t>STUDIO By MIRAVAL IGP Méditerranée blanc</t>
  </si>
  <si>
    <t>Sélection Vin Blanc Moelleux</t>
  </si>
  <si>
    <t>Côtes de Bergerac Celliers Reine Margot</t>
  </si>
  <si>
    <t>Monbazillac Celliers Reine Margot</t>
  </si>
  <si>
    <t>Jurançon Celliers Reine Margot</t>
  </si>
  <si>
    <t>3211200318117</t>
  </si>
  <si>
    <t>Côteaux du Layon</t>
  </si>
  <si>
    <t>3211200025619</t>
  </si>
  <si>
    <t>CÔTE DE BŒUF</t>
  </si>
  <si>
    <t>Côte de Bœuf Syrah Marselan rosé</t>
  </si>
  <si>
    <t>Côte de Bœuf Syrah Marselan rouge</t>
  </si>
  <si>
    <t>Côte de Boeuf MAGNUM rouge</t>
  </si>
  <si>
    <t>1,5l</t>
  </si>
  <si>
    <t>3263280121231</t>
  </si>
  <si>
    <t>Côte de Bœuf MATURÉE Syrah Marselan rouge</t>
  </si>
  <si>
    <t>LA VIEILLE FERME</t>
  </si>
  <si>
    <t>La Vieille Ferme Lubéron blanc</t>
  </si>
  <si>
    <t>La Vieille Ferme Lubéron rosé</t>
  </si>
  <si>
    <t>La Vieille Ferme Ventoux rouge</t>
  </si>
  <si>
    <t>LES ANIMALS</t>
  </si>
  <si>
    <t>Ours Blanc Lubéron blanc</t>
  </si>
  <si>
    <t>Eléphant Lubéron rosé</t>
  </si>
  <si>
    <t>Fourmi Rouge Ventoux rouge</t>
  </si>
  <si>
    <t>BALADE DE COLINE</t>
  </si>
  <si>
    <t>IGP Méditerranée rosé</t>
  </si>
  <si>
    <t>IGP Vaucluse Orange Balade de Coline rosé</t>
  </si>
  <si>
    <t>IGP Vaucluse Orange Balade de Coline rouge</t>
  </si>
  <si>
    <t>IGP Vaucluse Orange Balade de Coline VIOGNIER blanc</t>
  </si>
  <si>
    <t>IGP Vaucluse Orange Balade de Coline CHARDONNAY blanc</t>
  </si>
  <si>
    <t>LES CÔTES DU RHÔNE</t>
  </si>
  <si>
    <t>Côtes du Rhône GÉNÉRIQUE rouge</t>
  </si>
  <si>
    <t>Côtes du Rhône TRADITION rouge</t>
  </si>
  <si>
    <t> 3760167391577</t>
  </si>
  <si>
    <t>Côtes du Rhône PRESTIGE rouge</t>
  </si>
  <si>
    <t>Côtes du Rhône Vieilles Vignes rouge</t>
  </si>
  <si>
    <t>Côtes du Rhône Cuvée Fabre BIO rouge</t>
  </si>
  <si>
    <t>MAGIE D'UNE TERRE</t>
  </si>
  <si>
    <t>Côtes du Rhône Magie d'une Terre BLANC</t>
  </si>
  <si>
    <t>Côtes du Rhône Magie d'une Terre ROSÉ</t>
  </si>
  <si>
    <t>Côtes du Rhône Magie d'une Terre ROUGE</t>
  </si>
  <si>
    <t>ROCHE MAZET</t>
  </si>
  <si>
    <t>Roche Mazet blanc CHARDONNAY</t>
  </si>
  <si>
    <t>Roche Mazet blanc VIOGNIER</t>
  </si>
  <si>
    <t>Roche Mazet blanc SAUVIGNON</t>
  </si>
  <si>
    <t>Roche Mazet CINSAULT GRENACHE rosé</t>
  </si>
  <si>
    <t>Roche Mazet MERLOT rosé</t>
  </si>
  <si>
    <t>Roche Mazet SYRAH rosé</t>
  </si>
  <si>
    <t>Roche Mazet CABERNET SAUVIGNON rouge</t>
  </si>
  <si>
    <t>Roche Mazet MERLOT rouge</t>
  </si>
  <si>
    <t>JP CHENET</t>
  </si>
  <si>
    <t>JP.Chenet Colombard Sauvignon blanc</t>
  </si>
  <si>
    <t>JP.Chenet Grenache rosé</t>
  </si>
  <si>
    <t>JP.Chenet Cabernet Syrah rouge</t>
  </si>
  <si>
    <t>JP.Chenet Merlot rouge</t>
  </si>
  <si>
    <t>CELLIER DES DAUPHINS</t>
  </si>
  <si>
    <t>Cellier des Dauphins Côtes du Rhône rouge</t>
  </si>
  <si>
    <t>Cellier des Dauphins Côtes du Rhône blanc</t>
  </si>
  <si>
    <t xml:space="preserve">3179071001029
</t>
  </si>
  <si>
    <t>Cellier des Dauphins Côtes du Rhône rosé</t>
  </si>
  <si>
    <t>TO BI OR NOT TO BI</t>
  </si>
  <si>
    <t>BLANC BIO Macabeu Grenache IGP Côtes Catalanes</t>
  </si>
  <si>
    <t>ROUGE BIO Merlot Grenache IGP Côtes Catalanes</t>
  </si>
  <si>
    <t>TARANI</t>
  </si>
  <si>
    <t>Tarani BLANC</t>
  </si>
  <si>
    <t>Tarani ROSÉ</t>
  </si>
  <si>
    <t>Tarani ROUGE</t>
  </si>
  <si>
    <t>VIN VERY</t>
  </si>
  <si>
    <t>VERY Cassis rosé</t>
  </si>
  <si>
    <t>VERY Cerise rosé</t>
  </si>
  <si>
    <t>VERY Citron Vert blanc</t>
  </si>
  <si>
    <t>VERY Fraise rosé</t>
  </si>
  <si>
    <t>VERY Frambois' rosé</t>
  </si>
  <si>
    <t>VERY Pamp' rosé</t>
  </si>
  <si>
    <t>VERY Passion rosé</t>
  </si>
  <si>
    <t>VERY Pêche blanc</t>
  </si>
  <si>
    <t>VERY Pamp' rosé BIO</t>
  </si>
  <si>
    <t>VERY Pêche blanc BIO</t>
  </si>
  <si>
    <t>TARIQUET</t>
  </si>
  <si>
    <t>Tariquet CLASSIC blanc</t>
  </si>
  <si>
    <t>Tariquet CÔTÉ blanc</t>
  </si>
  <si>
    <t>Tariquet PREMIERES GRIVES blanc</t>
  </si>
  <si>
    <t>Tariquet Rosé de préssée</t>
  </si>
  <si>
    <t>Tariquet Réserve</t>
  </si>
  <si>
    <t>UBY N°</t>
  </si>
  <si>
    <t>UBY N°3 blanc sec</t>
  </si>
  <si>
    <t>UBY N°4 blanc fruité</t>
  </si>
  <si>
    <t>UBY TORTUE</t>
  </si>
  <si>
    <t>UBY TORTUE rosé</t>
  </si>
  <si>
    <t> 3760085610248</t>
  </si>
  <si>
    <t>UBY TORTUE Colombard Sauvignon blanc</t>
  </si>
  <si>
    <t>UBY TORTUE Gros Manseng blanc</t>
  </si>
  <si>
    <t> 3760085610231</t>
  </si>
  <si>
    <t>Uby TORTUE Côtes de Gascogne rouge</t>
  </si>
  <si>
    <t>WOLFBERGER</t>
  </si>
  <si>
    <t>WOLFBERGER Crémant brut</t>
  </si>
  <si>
    <t>WOLFBERGER Crémant rosé</t>
  </si>
  <si>
    <t>WOLFBERGER Crémant BIO</t>
  </si>
  <si>
    <t>WOLFBERGER Pinot blanc</t>
  </si>
  <si>
    <t>WOLFBERGER Pinot gris</t>
  </si>
  <si>
    <t>WOLFBERGER Pinot noir</t>
  </si>
  <si>
    <t>WOLFBERGER Muscat</t>
  </si>
  <si>
    <t>WOLFBERGER Sylvaner</t>
  </si>
  <si>
    <t>WOLFBERGER Riesling</t>
  </si>
  <si>
    <t>WOLFBERGER Gewurzt</t>
  </si>
  <si>
    <t>WOLFBERGER BLACK PAPILLON BLANC</t>
  </si>
  <si>
    <t>WOLFBERGER Crémant ICE PAPILLON</t>
  </si>
  <si>
    <t>CUBI VIN</t>
  </si>
  <si>
    <t>VERY pamp' rosé BIB</t>
  </si>
  <si>
    <t>3L</t>
  </si>
  <si>
    <t>VERY pêche blanc BIB</t>
  </si>
  <si>
    <t>Le Cube Blanc 11° vin d'Espagne</t>
  </si>
  <si>
    <t>Le Cube Rosé 11° vin d'Espagne</t>
  </si>
  <si>
    <t>Le Cube Rouge 12° vin d'Espagne</t>
  </si>
  <si>
    <t>Le Cube Blanc BIO 11° vin d'Espagne</t>
  </si>
  <si>
    <t>Le Cube Rosé BIO 12° vin d'Espagne</t>
  </si>
  <si>
    <t>Le Cube Rouge BIO 12° vin d'Espagne</t>
  </si>
  <si>
    <t>LES BULLES et APÉRITIFS</t>
  </si>
  <si>
    <t>IGT Lambrusco Dell'Emilia BLANC</t>
  </si>
  <si>
    <t>IGT Lambrusco Dell'Emilia ROSÉ</t>
  </si>
  <si>
    <t>IGT Lambrusco Dell'Emilia ROUGE</t>
  </si>
  <si>
    <t>Apérol 15°</t>
  </si>
  <si>
    <t>PICON Club</t>
  </si>
  <si>
    <t>RICARD</t>
  </si>
  <si>
    <t>CAMPARI</t>
  </si>
  <si>
    <t>MARTINI BLANC</t>
  </si>
  <si>
    <t>MARTINI ROSÉ</t>
  </si>
  <si>
    <t>MARTINI ROUGE</t>
  </si>
  <si>
    <t>CAFÉ DE PARIS vin blanc mousseux</t>
  </si>
  <si>
    <t>PROSECCO Frizzante Alberto TORESSI</t>
  </si>
  <si>
    <t>Champagne DEUTZ avec étui</t>
  </si>
  <si>
    <t>Champagne MUMM Cordon Rouge</t>
  </si>
  <si>
    <t>Champagne MOET et CHANDON Brut</t>
  </si>
  <si>
    <t>Champagne MOET et CHANDON Rosé</t>
  </si>
  <si>
    <t>Champagne MOET et CHANDON Ice</t>
  </si>
  <si>
    <t>LES ALCOOLS</t>
  </si>
  <si>
    <t>FLASH Poliakov</t>
  </si>
  <si>
    <t>FLASH William Peel</t>
  </si>
  <si>
    <t>FLASH Label 5</t>
  </si>
  <si>
    <t>FLASH Clan</t>
  </si>
  <si>
    <t>FLASH Jack Daniel's</t>
  </si>
  <si>
    <t xml:space="preserve">FLASH Rhum Blanc La Martiniquaise </t>
  </si>
  <si>
    <t>3147690090601</t>
  </si>
  <si>
    <t xml:space="preserve">FLASH Rhum Ambré La Martiniquaise </t>
  </si>
  <si>
    <t>3147690070207</t>
  </si>
  <si>
    <t>Absolut 35cl</t>
  </si>
  <si>
    <t>Jack Daniel's 35cl</t>
  </si>
  <si>
    <t>Jack Daniel's HONEY 35cl</t>
  </si>
  <si>
    <t>Jack Daniel's APPLE 35cl</t>
  </si>
  <si>
    <t>GET 27 70cl</t>
  </si>
  <si>
    <t>70cl</t>
  </si>
  <si>
    <t>SAINT GERMAIN Liqueur Fleur de Sureau</t>
  </si>
  <si>
    <t>Poliakov 70cl</t>
  </si>
  <si>
    <t>Poliakov Cherry 70cl</t>
  </si>
  <si>
    <t>Absolut 70cl</t>
  </si>
  <si>
    <t>Jagermeister 70cl</t>
  </si>
  <si>
    <t>Captain Morgan 70cl</t>
  </si>
  <si>
    <t>Jack Daniel's 70cl</t>
  </si>
  <si>
    <t>Jack Daniel's APPLE 70cl</t>
  </si>
  <si>
    <t>Jack Daniel's HONEY 70cl</t>
  </si>
  <si>
    <t>Jack Daniel's BLACKBERRY 70cl</t>
  </si>
  <si>
    <t>5099873033678</t>
  </si>
  <si>
    <t>Belvedere 70cl</t>
  </si>
  <si>
    <t>Rhum DON PAPA BAROKO 70cl</t>
  </si>
  <si>
    <t>Rhum DIPLOMATICO 70cl</t>
  </si>
  <si>
    <t>Ciroc ORIGINAL 40°</t>
  </si>
  <si>
    <t>Ciroc ANANAS 37,5°</t>
  </si>
  <si>
    <t>Ciroc COCO 37,5°</t>
  </si>
  <si>
    <t>Ciroc LIMONATA 37,5°</t>
  </si>
  <si>
    <t>Ciroc MANGUE 37,5°</t>
  </si>
  <si>
    <t>Ciroc PASTEQUE 37,5°</t>
  </si>
  <si>
    <t>Ciroc PECHE 37,5°</t>
  </si>
  <si>
    <t>Ciroc POMME 37,5°</t>
  </si>
  <si>
    <t>Ciroc RED BERRY 37,5°</t>
  </si>
  <si>
    <t>Ciroc STRAWBERRY LIMONADE 30°</t>
  </si>
  <si>
    <t>ÉPICERIE SALÉE</t>
  </si>
  <si>
    <t>Sauce Colona Tubes Squeeze 500ml</t>
  </si>
  <si>
    <t>Sauce Colona SWEET BARBECUE Tube</t>
  </si>
  <si>
    <t>500ml</t>
  </si>
  <si>
    <t>Sauce Colona TOMATO KETCHUP Tube</t>
  </si>
  <si>
    <t>Sauce Colona ALGÉRIENNE Tube</t>
  </si>
  <si>
    <t>Sauce Colona AMERICAINE Tube</t>
  </si>
  <si>
    <t>Sauce Colona ANDALOUSE Tube</t>
  </si>
  <si>
    <t>Sauce Colona BIGBURGER Tube</t>
  </si>
  <si>
    <t>Sauce Colona BOURGYBURGER Tube</t>
  </si>
  <si>
    <t>Sauce Colona CH'BILOUTE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</si>
  <si>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</si>
  <si>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</si>
  <si>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</si>
  <si>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</si>
  <si>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</si>
  <si>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Sauce Colona PITTA KEBAB Tube</t>
  </si>
  <si>
    <t>Sauce Colona POIVRE RAVIGORE Tube</t>
  </si>
  <si>
    <t>Sauce Colona SAMOURAÏ Tube</t>
  </si>
  <si>
    <t>Sauce Colona TARTARE Tube</t>
  </si>
  <si>
    <t>Sauce Colona TUCHE Tube</t>
  </si>
  <si>
    <t>Sauce Colona BRAZIL Tube</t>
  </si>
  <si>
    <t>Sauce Colona CHEEZY EASY Tube</t>
  </si>
  <si>
    <t>Sauce Colona Top Down 300ml</t>
  </si>
  <si>
    <t>Sauce Colona MINI ALGÉRIENNE Top Down</t>
  </si>
  <si>
    <t>300ml</t>
  </si>
  <si>
    <t> 5410803390065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</si>
  <si>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</si>
  <si>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</si>
  <si>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</si>
  <si>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</si>
  <si>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SMOKEY BARBECUE Top Down</t>
  </si>
  <si>
    <t>Présentoir Bois Sauce Colona non rempli</t>
  </si>
  <si>
    <t>/</t>
  </si>
  <si>
    <t>CHIPS BRET'S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</si>
  <si>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</si>
  <si>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</si>
  <si>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</si>
  <si>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</si>
  <si>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</si>
  <si>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</si>
  <si>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</si>
  <si>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</si>
  <si>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</si>
  <si>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BARBECUE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</si>
  <si>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</si>
  <si>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</si>
  <si>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</si>
  <si>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</si>
  <si>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</si>
  <si>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</si>
  <si>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</si>
  <si>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</si>
  <si>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</si>
  <si>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</si>
  <si>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</si>
  <si>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</si>
  <si>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</si>
  <si>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</si>
  <si>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</si>
  <si>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</si>
  <si>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</si>
  <si>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</si>
  <si>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</si>
  <si>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</si>
  <si>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</si>
  <si>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</si>
  <si>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</si>
  <si>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</si>
  <si>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</si>
  <si>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</si>
  <si>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</si>
  <si>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CHEDDAR BIERE</t>
  </si>
  <si>
    <t>Bret's KEBAB</t>
  </si>
  <si>
    <t>Bret's ALIGOT à L'AVEYRONNAISE</t>
  </si>
  <si>
    <t>Bret's MOUTARDE au PIMENT de CAYENNE</t>
  </si>
  <si>
    <t>Bret's FALAFELS à la LIBANAISE</t>
  </si>
  <si>
    <t>Bret's ROTISSERIE</t>
  </si>
  <si>
    <t>120g</t>
  </si>
  <si>
    <t>Bret's AIL et HERBES de PROVENCE rotisserie</t>
  </si>
  <si>
    <t>Bret's NATURE BIO</t>
  </si>
  <si>
    <t>100g</t>
  </si>
  <si>
    <t>Bret's SARRASIN</t>
  </si>
  <si>
    <t>Bret's TRUFFE D'ÉTÉ millésime</t>
  </si>
  <si>
    <t>130g</t>
  </si>
  <si>
    <t>Chips LAY'S</t>
  </si>
  <si>
    <t>Lay's CHEESEBURGER</t>
  </si>
  <si>
    <t>Lay's CREME OIGNON</t>
  </si>
  <si>
    <t>Lay's CHAMPIGNON AIL paysanne</t>
  </si>
  <si>
    <t>Lay's FROMAGE AIL HERBES paysanne</t>
  </si>
  <si>
    <t>Lay's FROMAGE JURA paysanne</t>
  </si>
  <si>
    <t>Lay's OSSAU IRATY TOMATE paysanne</t>
  </si>
  <si>
    <t>Lay's OIGNONS DE ROSCOFF CARAMÉLISÉS paysanne</t>
  </si>
  <si>
    <t>Lay's POULET MOUTARDE MIEL paysanne</t>
  </si>
  <si>
    <t>Lay's TAPENADE paysanne</t>
  </si>
  <si>
    <t>Lay's VINAIGRE de CIDRE SEL paysanne</t>
  </si>
  <si>
    <t>TAKIS</t>
  </si>
  <si>
    <t>Takis DRAGON SWEET CHILI</t>
  </si>
  <si>
    <t>Takis FUEGO</t>
  </si>
  <si>
    <t>Takis INTENSE NACHO</t>
  </si>
  <si>
    <t>Takis QUESO VOLCANO</t>
  </si>
  <si>
    <t>Takis BLUE HEAT</t>
  </si>
  <si>
    <t>8412600047484</t>
  </si>
  <si>
    <t>Takis ZOMBIE</t>
  </si>
  <si>
    <t>8412600061831</t>
  </si>
  <si>
    <t>CHEETOS</t>
  </si>
  <si>
    <t>Cheetos FROMAGE</t>
  </si>
  <si>
    <t>80g</t>
  </si>
  <si>
    <t>Cheetos CRISPY BALLS</t>
  </si>
  <si>
    <t>90g</t>
  </si>
  <si>
    <t>Cheetos CRUNCHY FROMAGE</t>
  </si>
  <si>
    <t>Cheetos CRUNCHY SWEET CHILI</t>
  </si>
  <si>
    <t>DORITOS</t>
  </si>
  <si>
    <t>Doritos NACHO CHEESE</t>
  </si>
  <si>
    <t>160g</t>
  </si>
  <si>
    <t>Doritos SWEET CHILI PEPPER</t>
  </si>
  <si>
    <t>Doritos SOUR CREAM</t>
  </si>
  <si>
    <t>Doritos NATURE</t>
  </si>
  <si>
    <t>Doritos BARBECUE</t>
  </si>
  <si>
    <t>Doritos PAPRIKA</t>
  </si>
  <si>
    <t>SAUCE Doritos NACHO CHEESE</t>
  </si>
  <si>
    <t>280g</t>
  </si>
  <si>
    <t>SAUCE Doritos SALSA DOUCE</t>
  </si>
  <si>
    <t>SAUCE Doritos SALSA FORTE Epicée</t>
  </si>
  <si>
    <t>SAUCE Doritos SOUR CREAM</t>
  </si>
  <si>
    <t>SAUCE Doritos GUACAMOLE</t>
  </si>
  <si>
    <t>PRINGLES</t>
  </si>
  <si>
    <t>Pringles ORIGINAL</t>
  </si>
  <si>
    <t>175g</t>
  </si>
  <si>
    <t>Pringles CREME OIGNON</t>
  </si>
  <si>
    <t>Pringles PAPRIKA</t>
  </si>
  <si>
    <t>Pringles TEXAS BARBECUE</t>
  </si>
  <si>
    <t>Pringles HOT et SPICY</t>
  </si>
  <si>
    <t>ÉLÉPHANT</t>
  </si>
  <si>
    <t>Bretzel Graines de Sésame 180g</t>
  </si>
  <si>
    <t>180g</t>
  </si>
  <si>
    <t>Bretzel Miel Moutarde 160g</t>
  </si>
  <si>
    <t>Bretzel Sel de Mer 180g</t>
  </si>
  <si>
    <t>Bretzel TWIST Oignons Caramélisés</t>
  </si>
  <si>
    <t>Bretzel ECLAT Fromage Sriracha</t>
  </si>
  <si>
    <t>YUM YUM nouilles instantanées</t>
  </si>
  <si>
    <t>Yum Yum nouilles BŒUF</t>
  </si>
  <si>
    <t>60g</t>
  </si>
  <si>
    <t>Yum Yum nouilles CANARD</t>
  </si>
  <si>
    <t>Yum Yum nouilles CREVETTE</t>
  </si>
  <si>
    <t>Yum Yum nouilles CURRY</t>
  </si>
  <si>
    <t>Yum Yum nouilles LÉGUMES</t>
  </si>
  <si>
    <t>Yum Yum nouilles POULET</t>
  </si>
  <si>
    <t>Yum Yum nouilles SHOYU</t>
  </si>
  <si>
    <t>Yum Yum nouilles POULET GRILLÉ</t>
  </si>
  <si>
    <t>70g</t>
  </si>
  <si>
    <t>Yum Yum SOUPE THAI COCONUT</t>
  </si>
  <si>
    <t>Yum Yum SOUPE THAI ÉPICÉE</t>
  </si>
  <si>
    <t>Yum Yum PAD THAI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</si>
  <si>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</si>
  <si>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</si>
  <si>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</si>
  <si>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</si>
  <si>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</si>
  <si>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KOREAN FOOD</t>
  </si>
  <si>
    <t>BULDAK Ramen</t>
  </si>
  <si>
    <t>Buldak RAMEN Poulet Braisé (8 lots de 5)</t>
  </si>
  <si>
    <t>145g</t>
  </si>
  <si>
    <t>Buldak RAMEN Poulet Carbo (8 lots de 5)</t>
  </si>
  <si>
    <t>Buldak RAMEN Poulet Cheese (8 lots de 5)</t>
  </si>
  <si>
    <t>140g</t>
  </si>
  <si>
    <t>Buldak RAMEN Poulet Piquant (8 lots de 5)</t>
  </si>
  <si>
    <t>Buldak RAMEN Poulet Extra Piquant (8 lots de 5)</t>
  </si>
  <si>
    <t>Buldak RAMEN Poulet Habanero Lime Piquant (8x5)</t>
  </si>
  <si>
    <t>40</t>
  </si>
  <si>
    <t>BULDAK Cups</t>
  </si>
  <si>
    <t xml:space="preserve">Buldak CUP Poulet Carbo </t>
  </si>
  <si>
    <t>6</t>
  </si>
  <si>
    <t xml:space="preserve">Buldak CUP Poulet épicé </t>
  </si>
  <si>
    <t xml:space="preserve">Buldak  CUP Poulet Fromage </t>
  </si>
  <si>
    <t>BULDAK BOWL</t>
  </si>
  <si>
    <t xml:space="preserve">Buldak BOWL Poulet braisé </t>
  </si>
  <si>
    <t>105g</t>
  </si>
  <si>
    <t>16</t>
  </si>
  <si>
    <t>Buldak BOWL Poulet piquan</t>
  </si>
  <si>
    <t xml:space="preserve">Buldak BOWL Poulet extra piquant </t>
  </si>
  <si>
    <t>BULDAK Snacks</t>
  </si>
  <si>
    <t xml:space="preserve">Buldak SNACKS Zzalduk </t>
  </si>
  <si>
    <t>RAMEN Soja Caramel</t>
  </si>
  <si>
    <t>170g</t>
  </si>
  <si>
    <t>RAMEN Bœuf</t>
  </si>
  <si>
    <t>Topokki gâteau de riz Épicé</t>
  </si>
  <si>
    <t>Topokki gâteau de riz Sucré</t>
  </si>
  <si>
    <t>Topokki gâteau de riz Jjajang</t>
  </si>
  <si>
    <t>Topokki SQUID GAME sucré</t>
  </si>
  <si>
    <t>Toppoki SQUID GAME épicé</t>
  </si>
  <si>
    <t>Topokki SAMYANG poulet piquant (buldak)</t>
  </si>
  <si>
    <t>185g</t>
  </si>
  <si>
    <t>Nouilles aux Œufs</t>
  </si>
  <si>
    <t>250g</t>
  </si>
  <si>
    <t>Cacahuètes au Wasabi</t>
  </si>
  <si>
    <t>Pois Verts au Wasabi</t>
  </si>
  <si>
    <t>WOK HELLO Ail et Oignons</t>
  </si>
  <si>
    <t>76g</t>
  </si>
  <si>
    <t>WOK HELLO Bœuf</t>
  </si>
  <si>
    <t>WOK HELLO Poulet</t>
  </si>
  <si>
    <t>Sauces FLYING GOOSE Sriracha</t>
  </si>
  <si>
    <t>FLYING GOOSE Sauce Sriracha Mini ORIGINALE</t>
  </si>
  <si>
    <t>200ml</t>
  </si>
  <si>
    <t>FLYING GOOSE Sauce Sriracha Mini MAYO</t>
  </si>
  <si>
    <t>FLYING GOOSE Sauce Sriracha Mini BLACK PEPPER</t>
  </si>
  <si>
    <t>FLYING GOOSE Sauce Sriracha MAXI ORIGINALE</t>
  </si>
  <si>
    <t>455ml</t>
  </si>
  <si>
    <t>FLYING GOOSE Sauce Sriracha MAXI MAYO</t>
  </si>
  <si>
    <t>Sauces MONT ASIE</t>
  </si>
  <si>
    <t>SAUCE Soja Mont Asie150</t>
  </si>
  <si>
    <t>150ml</t>
  </si>
  <si>
    <t>SAUCE Soja Mont Asie 500</t>
  </si>
  <si>
    <t>SAUCE Mont Asie Piments pour Volailles</t>
  </si>
  <si>
    <t>SAUCE Mont ASIE Hot Chili Sriracha</t>
  </si>
  <si>
    <t>Sauce Kikkoman</t>
  </si>
  <si>
    <t>SAUCE KIKKOMAN Soja</t>
  </si>
  <si>
    <t>SAUCE KIKKOMAN Soja SUCRÉE</t>
  </si>
  <si>
    <t>250ml</t>
  </si>
  <si>
    <t>Sauces BULDAK</t>
  </si>
  <si>
    <t>Sauce SAMYANG Buldak pimentée</t>
  </si>
  <si>
    <t>165ml</t>
  </si>
  <si>
    <t>Sauce SAMYANG Buldak extrême</t>
  </si>
  <si>
    <t>Sauce SAMYANG Buldak Carbo</t>
  </si>
  <si>
    <t>MOCHI</t>
  </si>
  <si>
    <t>MOCHI Arachide 128g</t>
  </si>
  <si>
    <t>128g</t>
  </si>
  <si>
    <t>MOCHI Haricot Rouge 128g</t>
  </si>
  <si>
    <t>MOCHI Mangue 128g</t>
  </si>
  <si>
    <t>MOCHI Matcha 128g</t>
  </si>
  <si>
    <t>MOCHI mini Azuki yuki &amp; love140g</t>
  </si>
  <si>
    <t>MOCHI mini Thé Vert 140g</t>
  </si>
  <si>
    <t>MOCHI Cacahuètes yuki &amp; love 210g</t>
  </si>
  <si>
    <t>210g</t>
  </si>
  <si>
    <t>MOCHI Sésame yuki &amp; love 210g</t>
  </si>
  <si>
    <t>MOCHI Taro yuki &amp; love 210g</t>
  </si>
  <si>
    <t>MOCHI maxi Thé Vert yuki &amp; love 210g</t>
  </si>
  <si>
    <t>PRODUITS import USA + import UK</t>
  </si>
  <si>
    <t>HEINZ ORIGINAL  Baked Beans Import UK</t>
  </si>
  <si>
    <t>415g</t>
  </si>
  <si>
    <t>HEINZ PORK SAUSAGES Baked Beans Import UK</t>
  </si>
  <si>
    <t>HEINZ BARBECUE Baked Beans Import UK</t>
  </si>
  <si>
    <t>390g</t>
  </si>
  <si>
    <t>LENNY CUPS Macaroni &amp; Cheese Cups Import  USA</t>
  </si>
  <si>
    <t>65g</t>
  </si>
  <si>
    <t>LENNY DOYPACK Macaroni &amp; Cheese Import  USA</t>
  </si>
  <si>
    <t>150g</t>
  </si>
  <si>
    <t>JACK LINKS ORIGINAL avec cravate Import USA</t>
  </si>
  <si>
    <t>25g</t>
  </si>
  <si>
    <t>JACKS LINKS SWEET AND HOT avec cravate Import USA</t>
  </si>
  <si>
    <t>JACK LINKS TERIAKY avec cravate Import USA</t>
  </si>
  <si>
    <t xml:space="preserve">BIFI </t>
  </si>
  <si>
    <t>BIFI ORIGINAL</t>
  </si>
  <si>
    <t>20g</t>
  </si>
  <si>
    <t>4251097420783</t>
  </si>
  <si>
    <t>BIFI HOT</t>
  </si>
  <si>
    <t>4251097420813</t>
  </si>
  <si>
    <t>BIFI ROLL</t>
  </si>
  <si>
    <t>45g</t>
  </si>
  <si>
    <t>4251097410289</t>
  </si>
  <si>
    <t xml:space="preserve"> PÂTES ARMANDO</t>
  </si>
  <si>
    <t>Pâtes Armando LINGUINE</t>
  </si>
  <si>
    <t>500g</t>
  </si>
  <si>
    <t>Pâtes Armando SPAGUETTI</t>
  </si>
  <si>
    <t>Pâtes Armando FUSILLI</t>
  </si>
  <si>
    <t>Pâtes Armando RIGATONI</t>
  </si>
  <si>
    <t>Pâtes Armando PENNE</t>
  </si>
  <si>
    <t>Pâtes Armando FARFALLE</t>
  </si>
  <si>
    <t>Présentoir ARMANDO non rempli</t>
  </si>
  <si>
    <t>BRUCHETTA MARETTI</t>
  </si>
  <si>
    <t>Bruschetta Chips Aïl</t>
  </si>
  <si>
    <t>Bruschetta Chips Pizza</t>
  </si>
  <si>
    <t>Bruschetta Chips Sour Cream</t>
  </si>
  <si>
    <t>ÉPICERIE SUCRÉE</t>
  </si>
  <si>
    <t>Pâtes à tartiner</t>
  </si>
  <si>
    <t>Pâtes à tartiner NELLA DELICE</t>
  </si>
  <si>
    <t>NELLA DELICE pâte à tartiner crème noisette</t>
  </si>
  <si>
    <t>700g</t>
  </si>
  <si>
    <t>NELLA DELICE crème de Pistache</t>
  </si>
  <si>
    <t>200g</t>
  </si>
  <si>
    <t>NELLA DELICE éclats Kadaif Kunafa crème de Pistache</t>
  </si>
  <si>
    <t>Pâtes à tartiner BUENOS DIAS</t>
  </si>
  <si>
    <t>Buenos Dias pâte à tartiner crème noisette</t>
  </si>
  <si>
    <t>350g</t>
  </si>
  <si>
    <t>Buenos Dias pâte à tartiner crème noisette + bâtonnets</t>
  </si>
  <si>
    <t>55g</t>
  </si>
  <si>
    <t>Pâtes à tartiner ARACAO</t>
  </si>
  <si>
    <t>ARACAO Crema Bueno</t>
  </si>
  <si>
    <t>ARACAO Crema Cacahuète</t>
  </si>
  <si>
    <t>ARACAO Crema Pistache</t>
  </si>
  <si>
    <t>ARACAO Crema Fruits rouges</t>
  </si>
  <si>
    <t xml:space="preserve">Pâtes à Tartiner LENNY </t>
  </si>
  <si>
    <t>LENNY - Peanut Butter SMOOTH usa</t>
  </si>
  <si>
    <t>340g</t>
  </si>
  <si>
    <t>LENNY - Peanut Butter CRUNCHY usa</t>
  </si>
  <si>
    <t>Pâtes à Tartiner FLUFF</t>
  </si>
  <si>
    <t>FLUFF - Marshmallow VANILLE Import USA</t>
  </si>
  <si>
    <t>213g</t>
  </si>
  <si>
    <t>0052600751219</t>
  </si>
  <si>
    <t>FLUFF - Marshmallow  FRAISE Import USA</t>
  </si>
  <si>
    <t>0052600751233</t>
  </si>
  <si>
    <t>FLUFF - Marshmallow  CARAMEL Import USA</t>
  </si>
  <si>
    <t>0052600412752</t>
  </si>
  <si>
    <t>Pâtes à Tartiner YUMZY</t>
  </si>
  <si>
    <t>Yumzy BANANE à tartiner tube</t>
  </si>
  <si>
    <t>Yumzy CARAMEL BEURRE SALÉ à tartiner tube</t>
  </si>
  <si>
    <t>Yumzy MANGUE à tartiner tube</t>
  </si>
  <si>
    <t>Yumzy NOISETTE à tartiner tube</t>
  </si>
  <si>
    <t>Yumzy PISTACHE à tartiner tube</t>
  </si>
  <si>
    <t>GATEAUX-CHOCOLAT-CÉRÉALES</t>
  </si>
  <si>
    <t>Chocolat au Lait Angel's Hair Pastislove</t>
  </si>
  <si>
    <t>Chocolat Blanc Crème Pistache Angel's Hair Pastislove</t>
  </si>
  <si>
    <t>Chocolat Blanc FRAMBOISE Crème Pistache Angel's Hair Pastislove</t>
  </si>
  <si>
    <t>CHOCOBUBU display 4x3</t>
  </si>
  <si>
    <t xml:space="preserve">Knoppers GAUFRETTE lait et noisettes 3x25g </t>
  </si>
  <si>
    <t>0000040144405</t>
  </si>
  <si>
    <t xml:space="preserve">Knoppers BARRES lait et noisettes 5x 40g </t>
  </si>
  <si>
    <t>4014400929065</t>
  </si>
  <si>
    <t>TOFFIFEE Biscuits Caramel Nougat Chocolat</t>
  </si>
  <si>
    <t>4014400400007</t>
  </si>
  <si>
    <t>MR TOM Barre aux cacahuètes</t>
  </si>
  <si>
    <t>40g</t>
  </si>
  <si>
    <t>4021700800055</t>
  </si>
  <si>
    <t>SUNDY Barre Chocolatée  36g</t>
  </si>
  <si>
    <t>36g</t>
  </si>
  <si>
    <t>SUNDY Barre Peanut 36g</t>
  </si>
  <si>
    <t>PIC NIC BREAK 50g pâte à tartiner+ biscuits</t>
  </si>
  <si>
    <t>50g</t>
  </si>
  <si>
    <t>8032880800434</t>
  </si>
  <si>
    <t>LENNY USA</t>
  </si>
  <si>
    <t>LENNY Biscuits au Beurre de cacahuètes USA</t>
  </si>
  <si>
    <t>LENNY Cookies Peanuts USA</t>
  </si>
  <si>
    <t>LENNY Cookies Chocolat &amp; Hazelnuts USA</t>
  </si>
  <si>
    <t>225g</t>
  </si>
  <si>
    <t>LENNY Cookies Coeur Noisettes USA</t>
  </si>
  <si>
    <t>LENNY - Céréales Cookies USA</t>
  </si>
  <si>
    <t>300g</t>
  </si>
  <si>
    <t>LENNY - Céréales Marshmallow USA</t>
  </si>
  <si>
    <t>325g</t>
  </si>
  <si>
    <t>TONY'S</t>
  </si>
  <si>
    <t>TONY'S - Chocolat Lait 50g</t>
  </si>
  <si>
    <t>8717677335527</t>
  </si>
  <si>
    <t>TONY'S- Chocolat Lait Caramel Sel de Mer 47g</t>
  </si>
  <si>
    <t>47g</t>
  </si>
  <si>
    <t>8717677337729</t>
  </si>
  <si>
    <t>TONY'S- Chocolat Lait Noisettes 47g</t>
  </si>
  <si>
    <t>8717677335800</t>
  </si>
  <si>
    <t>MAMIE NONETTE Biscuiterie Painsol</t>
  </si>
  <si>
    <t>Rouleau de 6 Nonettes ABRICOT</t>
  </si>
  <si>
    <t>Rouleau de 6 Nonettes CASSIS</t>
  </si>
  <si>
    <t>Rouleau de 6 Nonettes CITRON</t>
  </si>
  <si>
    <t>Rouleau de 6 Nonettes MIRABELLE</t>
  </si>
  <si>
    <t>Rouleau de 6 Nonettes MYRTILLE</t>
  </si>
  <si>
    <t>Rouleau de 6 Nonettes ORANGE</t>
  </si>
  <si>
    <t>MR BEAST</t>
  </si>
  <si>
    <t>Mr Beast ALMOND</t>
  </si>
  <si>
    <t>Mr Beast CHOCOLATE MILK</t>
  </si>
  <si>
    <t>Mr Beast MILK CRUNCH</t>
  </si>
  <si>
    <t>Mr Beast PEANUT BUTTER</t>
  </si>
  <si>
    <t>BARRES PROTÉINÉES BAREBELLS</t>
  </si>
  <si>
    <t>Barebells COOKIES &amp; CREAMS</t>
  </si>
  <si>
    <t>Barebells PEANUT CARAMEL</t>
  </si>
  <si>
    <t>Barebells COCO CHOCO</t>
  </si>
  <si>
    <t xml:space="preserve"> </t>
  </si>
  <si>
    <t>Barebells MARSHMALLOW Rocky Road</t>
  </si>
  <si>
    <t>Barebells SALTY PEANUT</t>
  </si>
  <si>
    <t>Barebells CREAMY-CRISP</t>
  </si>
  <si>
    <t>CRAQUISE gaufrettes fourrées</t>
  </si>
  <si>
    <t>Craquise CARAMEL Beurre Salé</t>
  </si>
  <si>
    <t>135g</t>
  </si>
  <si>
    <t>Craquise CHOCOLAT Noisette</t>
  </si>
  <si>
    <t>REESE'S</t>
  </si>
  <si>
    <t>Reese's PEANUT BUTTER x 2 cups</t>
  </si>
  <si>
    <t>39,5g</t>
  </si>
  <si>
    <t>0034000442959</t>
  </si>
  <si>
    <t>TOGOLO</t>
  </si>
  <si>
    <t>MAIS Grillé Salé</t>
  </si>
  <si>
    <t>BONBONS Amos</t>
  </si>
  <si>
    <t>AMOS - Banane PEELERZ</t>
  </si>
  <si>
    <t xml:space="preserve">6936756269658 </t>
  </si>
  <si>
    <t>AMOS - Mangue PEELERZ</t>
  </si>
  <si>
    <t xml:space="preserve">6936756269634 </t>
  </si>
  <si>
    <t>AMOS - Pêche PEELERZ</t>
  </si>
  <si>
    <t xml:space="preserve">6936756269672 </t>
  </si>
  <si>
    <t>AMOS - Kids LEGO</t>
  </si>
  <si>
    <t xml:space="preserve">6936756269351 </t>
  </si>
  <si>
    <t>AMOS - Kids DINOS</t>
  </si>
  <si>
    <t>6936756269375</t>
  </si>
  <si>
    <t>BONBONS FINI HALAL petits sachets</t>
  </si>
  <si>
    <t>BANANAS Halal</t>
  </si>
  <si>
    <t>BEANS Fizz Halal</t>
  </si>
  <si>
    <t>85g</t>
  </si>
  <si>
    <t>8410525275197</t>
  </si>
  <si>
    <t>BERRIES Mûres et Frambroises Halal 12</t>
  </si>
  <si>
    <t>BISOUS Fraise Halal</t>
  </si>
  <si>
    <t>BOUTEILLES Cola Fizz Halal</t>
  </si>
  <si>
    <t>BOUTEILLES Cola Lisse Halal</t>
  </si>
  <si>
    <t>BOUTEILLES Roses Bleues Fizz Halal</t>
  </si>
  <si>
    <t>CERISES Fizz Halal</t>
  </si>
  <si>
    <t>COEURS DE PÊCHE Halal</t>
  </si>
  <si>
    <t>CROCODILES Halal</t>
  </si>
  <si>
    <t>DENTIERS Halal</t>
  </si>
  <si>
    <t>FRAISES SAUVAGES Lisse Halal</t>
  </si>
  <si>
    <t>LITTLE MIX Fizz Halal</t>
  </si>
  <si>
    <t>LUCIOLES Fizz Halal</t>
  </si>
  <si>
    <t>MAGIC CARPETS Fizz Halal</t>
  </si>
  <si>
    <t>MINI MOCHIS Halal</t>
  </si>
  <si>
    <t>8410525271182</t>
  </si>
  <si>
    <t>MIX TROPICAL Fizz Halal</t>
  </si>
  <si>
    <t>OEUFS AU PLAT Lisse Halal</t>
  </si>
  <si>
    <t>OURSONS (bears) Lisse Halal</t>
  </si>
  <si>
    <t>POULPES Fizz Halal</t>
  </si>
  <si>
    <t>REQUINS Lisse Halal</t>
  </si>
  <si>
    <t>RINGS anneaux Peach Fizz Halal</t>
  </si>
  <si>
    <t>SLICES (pastèque) Fizz Halal</t>
  </si>
  <si>
    <t>TUBES Creamy Fraise Banane Halal</t>
  </si>
  <si>
    <t>TUBES Creamy Mangue Halal</t>
  </si>
  <si>
    <t>BONBONS FINI BUBBLE GUM</t>
  </si>
  <si>
    <t>BUBBLE GUM Balls Halal</t>
  </si>
  <si>
    <t>BUBBLE GUM Melon Halal</t>
  </si>
  <si>
    <t>BUBBLE GUM Fruits</t>
  </si>
  <si>
    <t>BUBBLE GUM Pastèque</t>
  </si>
  <si>
    <t>BONBONS FINI petits sachets</t>
  </si>
  <si>
    <t>BEANS HARICOTS colorés</t>
  </si>
  <si>
    <t>BRICKS Fraise</t>
  </si>
  <si>
    <t>CINEMA Mix</t>
  </si>
  <si>
    <t>DROPS</t>
  </si>
  <si>
    <t>FROGS (grenouilles)</t>
  </si>
  <si>
    <t>GALAXY Mix</t>
  </si>
  <si>
    <t>LITTLE MIX Lisse</t>
  </si>
  <si>
    <t>LUCIOLES Lisse</t>
  </si>
  <si>
    <t>MINI CABLES Fraise Fizz</t>
  </si>
  <si>
    <t>MINI CABLES Fraise Lisse</t>
  </si>
  <si>
    <t>MINI CABLES Noirs</t>
  </si>
  <si>
    <t>OURSONS (bears) Fizz</t>
  </si>
  <si>
    <t>PARTY Mix 90g</t>
  </si>
  <si>
    <t>PIRATE'S Skulls / Têtes de Mort</t>
  </si>
  <si>
    <t xml:space="preserve">90g </t>
  </si>
  <si>
    <t>RINGS anneaux Strawberry Fizz</t>
  </si>
  <si>
    <t>SENSATION Red Mix</t>
  </si>
  <si>
    <t>SOUR BOOM Mix 12</t>
  </si>
  <si>
    <t>TUBES Barbe à papa et Pomme d'Amour</t>
  </si>
  <si>
    <t>TUBES Creamy Fruits Rouges</t>
  </si>
  <si>
    <t>CEINTURES Fraise Fizz</t>
  </si>
  <si>
    <t>CEINTURES Multifruits Fizz</t>
  </si>
  <si>
    <t>LACETS Multifruits</t>
  </si>
  <si>
    <t>PENCILS Arc en Ciel (Rainbow) Fizz</t>
  </si>
  <si>
    <t>PENCILS Arc en Ciel (Rainbow) Lisse</t>
  </si>
  <si>
    <t>PENCILS Fraise (strawberry) Fizz</t>
  </si>
  <si>
    <t>PENCILS Fraise (strawberry) Lisse</t>
  </si>
  <si>
    <t>BONBONS FINI CHAMALLOW</t>
  </si>
  <si>
    <t>CHAMALLOW Halal</t>
  </si>
  <si>
    <t>CHAMALLOW Sweet Pop Corn</t>
  </si>
  <si>
    <t>CHAMALLOW Magic Twist Fourrés framboise</t>
  </si>
  <si>
    <t>BONBONS FINI 80g enveloppés</t>
  </si>
  <si>
    <t>BUBBLE GUM Boules de Chameau</t>
  </si>
  <si>
    <t>BUBBLE GUM Boom Cola</t>
  </si>
  <si>
    <t>BUBBLE GUM Balles de Tennis 12</t>
  </si>
  <si>
    <t>BUBBLE GUM Boom Vampire</t>
  </si>
  <si>
    <t>BUBBLE GUM Boom Zombie</t>
  </si>
  <si>
    <t>SUCETTES Peint la Langue</t>
  </si>
  <si>
    <t>SUCETTES PASTEQUE Pépites</t>
  </si>
  <si>
    <t>Présentoir FINI 6 broches (non rempli)</t>
  </si>
  <si>
    <t>Présentoir FINI 14 broches (non rempli)</t>
  </si>
  <si>
    <t>Présentoir FINI 28 broches (non rempli)</t>
  </si>
  <si>
    <t>BONBONS FINI Divers</t>
  </si>
  <si>
    <t>CONES SUPRISES</t>
  </si>
  <si>
    <t>68,5g</t>
  </si>
  <si>
    <t>HAPPY PARTY Mix</t>
  </si>
  <si>
    <t>ROLLER Fraise display</t>
  </si>
  <si>
    <t>ROLLER Framboise display</t>
  </si>
  <si>
    <t>ROLLER Fantaisie display</t>
  </si>
  <si>
    <t>ROLLER Pastèque display</t>
  </si>
  <si>
    <t>BONBONS Divers</t>
  </si>
  <si>
    <t>FRIZZY PAZZY Bleu</t>
  </si>
  <si>
    <t>7g</t>
  </si>
  <si>
    <t>8410576013267</t>
  </si>
  <si>
    <t>FRIZZY PAZZY Cola</t>
  </si>
  <si>
    <t>8410576012673</t>
  </si>
  <si>
    <t>FRIZZY PAZZY Fraise</t>
  </si>
  <si>
    <t>8410576003268</t>
  </si>
  <si>
    <t xml:space="preserve">CANDY SPRAY </t>
  </si>
  <si>
    <t>26ml</t>
  </si>
  <si>
    <t>5996071643657</t>
  </si>
  <si>
    <t>SODA SPRAY</t>
  </si>
  <si>
    <t>60ml</t>
  </si>
  <si>
    <t>6931722321705</t>
  </si>
  <si>
    <t>GUMMY NOODLES</t>
  </si>
  <si>
    <t>63g</t>
  </si>
  <si>
    <t>6931722309109</t>
  </si>
  <si>
    <t>JELLY BELLY Cotton Candy USA</t>
  </si>
  <si>
    <t>0071570010058</t>
  </si>
  <si>
    <t>JELLY BELLY Fruit Mix USA</t>
  </si>
  <si>
    <t>0071570001858</t>
  </si>
  <si>
    <t>JELLY BELLY Very Cherry USA</t>
  </si>
  <si>
    <t>0071570010119</t>
  </si>
  <si>
    <t>NERDS - Fraise Raisin USA</t>
  </si>
  <si>
    <t>46g</t>
  </si>
  <si>
    <t>NERDS - Pastèque Cerise USA</t>
  </si>
  <si>
    <t>BEANS BOOZLED USA Jelly Belly</t>
  </si>
  <si>
    <t>54g</t>
  </si>
  <si>
    <t>0071570020507</t>
  </si>
  <si>
    <t>CROKERS</t>
  </si>
  <si>
    <t>Bubble Gum ROLLS TOGOLO</t>
  </si>
  <si>
    <t>BUBBLE N ROLL</t>
  </si>
  <si>
    <t>58g</t>
  </si>
  <si>
    <t>8713763564918</t>
  </si>
  <si>
    <t>MACHINE Bubble Gumball</t>
  </si>
  <si>
    <t>HOT DOG Big Doggie</t>
  </si>
  <si>
    <t>28g</t>
  </si>
  <si>
    <t>BIG BURGER Gummi Zone</t>
  </si>
  <si>
    <t>BIG BURGER Trolli DISPLAY</t>
  </si>
  <si>
    <t>MAMMOUTH Balls PICA</t>
  </si>
  <si>
    <t>MAMMOUTH Tétines</t>
  </si>
  <si>
    <t>MAMMOUTH Lollies USA</t>
  </si>
  <si>
    <t>5011061042620</t>
  </si>
  <si>
    <t>POP EYES Sachet</t>
  </si>
  <si>
    <t>75g</t>
  </si>
  <si>
    <t>GLOTZER Tubo</t>
  </si>
  <si>
    <t>18,8g</t>
  </si>
  <si>
    <t>Crazy FIZZ</t>
  </si>
  <si>
    <t>PEZ 8 recharges Fruits Acides</t>
  </si>
  <si>
    <t>68g</t>
  </si>
  <si>
    <t>PEZ (1 Distributeur + 1 recharge)</t>
  </si>
  <si>
    <t>__</t>
  </si>
  <si>
    <t>POP UPS Marvel</t>
  </si>
  <si>
    <t>10g</t>
  </si>
  <si>
    <t>8714786307346</t>
  </si>
  <si>
    <t>POP UPS Mickey &amp; Friends</t>
  </si>
  <si>
    <t>8714786307315</t>
  </si>
  <si>
    <t>SUCETTES</t>
  </si>
  <si>
    <t>BABY FLASH Lumineuse</t>
  </si>
  <si>
    <t>19g</t>
  </si>
  <si>
    <t>BIP BOP Sucettes TOGOLO</t>
  </si>
  <si>
    <t>BIG BABY</t>
  </si>
  <si>
    <t>32g</t>
  </si>
  <si>
    <t>Fini POP 3EN1(gum+peint langue+acide) sucettes</t>
  </si>
  <si>
    <t>LolliPops</t>
  </si>
  <si>
    <t>31g</t>
  </si>
  <si>
    <t>Chupa Chups ROUE</t>
  </si>
  <si>
    <t>12g</t>
  </si>
  <si>
    <t>Fini POP Pastèque DISPLAY</t>
  </si>
  <si>
    <t>Fini CARETOS DISPLAY</t>
  </si>
  <si>
    <t>SOUR POTTY (toilettes)</t>
  </si>
  <si>
    <t>17g</t>
  </si>
  <si>
    <t>6939495516625</t>
  </si>
  <si>
    <t>POPPING GARBAGE</t>
  </si>
  <si>
    <t>6931722309871</t>
  </si>
  <si>
    <t>B-POP MEGA MIX</t>
  </si>
  <si>
    <t>15g</t>
  </si>
  <si>
    <t>8435124854444</t>
  </si>
  <si>
    <t>UNICORN DIPPER</t>
  </si>
  <si>
    <t>6931722310297</t>
  </si>
  <si>
    <t>BABY LIGHT POP</t>
  </si>
  <si>
    <t>6931722330868</t>
  </si>
  <si>
    <t>RÉGLISSE</t>
  </si>
  <si>
    <t>Bâton Réglisse Noire DISPLAY</t>
  </si>
  <si>
    <t>WERTHER'S</t>
  </si>
  <si>
    <t>Werther's Original BOITE Sans sucre 42g</t>
  </si>
  <si>
    <t>42g</t>
  </si>
  <si>
    <t>Werther's Original MULTIPACK 3 ROULEAUX x 50g</t>
  </si>
  <si>
    <t>Werther's Original SACHET sans sucre 70g</t>
  </si>
  <si>
    <t>Werther's Original CARAMEL SELECTION  sachet 200g</t>
  </si>
  <si>
    <t>Werther's Original POP CORN sachet 140g</t>
  </si>
  <si>
    <t>POP CORN</t>
  </si>
  <si>
    <t>POP CORN Seau Caramel</t>
  </si>
  <si>
    <t>POP CORN Sachet XXL</t>
  </si>
  <si>
    <t>POP N'JOY POPCORN Caramel Beurre Salé</t>
  </si>
  <si>
    <t>3770021919090</t>
  </si>
  <si>
    <t>BARBE A PAPA</t>
  </si>
  <si>
    <t>BARBE A PAPA Fraise</t>
  </si>
  <si>
    <t>BARBE A PAPA Fluffy Stuff</t>
  </si>
  <si>
    <t>71g</t>
  </si>
  <si>
    <t>COTTON POPPING CANDY</t>
  </si>
  <si>
    <t>3770021919915</t>
  </si>
  <si>
    <t>LES ARTICLES FUMEURS</t>
  </si>
  <si>
    <t>OCB</t>
  </si>
  <si>
    <t>OCB slim</t>
  </si>
  <si>
    <t>0000030058569</t>
  </si>
  <si>
    <t>OCB slim + cartons</t>
  </si>
  <si>
    <t>0000030102903</t>
  </si>
  <si>
    <t>OCB slim chanvre BIO</t>
  </si>
  <si>
    <t> 0000030097476</t>
  </si>
  <si>
    <t>OCB courtes</t>
  </si>
  <si>
    <t>0000030062948</t>
  </si>
  <si>
    <t>OCB courtes blanches</t>
  </si>
  <si>
    <t>0000030004832</t>
  </si>
  <si>
    <t>OCB sachets 150 filtres 6mm</t>
  </si>
  <si>
    <t>3057068056781</t>
  </si>
  <si>
    <t>OCB 50 filtres en carton</t>
  </si>
  <si>
    <t>0000030104082</t>
  </si>
  <si>
    <t>OCB tubes 100</t>
  </si>
  <si>
    <t>3057060366703</t>
  </si>
  <si>
    <t>OCB tubes 100 JUST PAPER</t>
  </si>
  <si>
    <t>3057060472701</t>
  </si>
  <si>
    <t>OCB tubes 250</t>
  </si>
  <si>
    <t>3057060362903</t>
  </si>
  <si>
    <t>OCB tubes 250 JUST PAPER</t>
  </si>
  <si>
    <t>3057060475900</t>
  </si>
  <si>
    <t>OCB Rolls premium</t>
  </si>
  <si>
    <t>0000030062092</t>
  </si>
  <si>
    <t>OCB VIRGIN slim</t>
  </si>
  <si>
    <t>0000030112995</t>
  </si>
  <si>
    <t>OCB VIRGIN slim + cartons</t>
  </si>
  <si>
    <t>3057067489016</t>
  </si>
  <si>
    <t>OCB VIRGIN Rolls + cartons</t>
  </si>
  <si>
    <t>0000030156081</t>
  </si>
  <si>
    <t>OCB VIRGIN courtes</t>
  </si>
  <si>
    <t>3057067573012</t>
  </si>
  <si>
    <t>OCB X-PERT slim</t>
  </si>
  <si>
    <t>3057067718017</t>
  </si>
  <si>
    <t>OCB X-PERT courtes</t>
  </si>
  <si>
    <t>3057067728016</t>
  </si>
  <si>
    <t>Machine à tuber OCB</t>
  </si>
  <si>
    <t>3057069092016</t>
  </si>
  <si>
    <t>YEUF</t>
  </si>
  <si>
    <t>YEUF slim</t>
  </si>
  <si>
    <t>0000030069459</t>
  </si>
  <si>
    <t>YEUF courtes</t>
  </si>
  <si>
    <t>0000030069442</t>
  </si>
  <si>
    <t>YEUF sachet 500 filtres 6mm</t>
  </si>
  <si>
    <t>3588400259572</t>
  </si>
  <si>
    <t>YEUF boîtes 500 tubes slim</t>
  </si>
  <si>
    <t>3588400258247</t>
  </si>
  <si>
    <t>BANKO</t>
  </si>
  <si>
    <t>Machine à tuber BANKO</t>
  </si>
  <si>
    <t>Tubes 250 BANKO</t>
  </si>
  <si>
    <t>Tubes 500 BANKO</t>
  </si>
  <si>
    <t>Tubes 1000 BANKO</t>
  </si>
  <si>
    <t>DIVERS FUMEURS</t>
  </si>
  <si>
    <t>ATOA feuilles slim</t>
  </si>
  <si>
    <t xml:space="preserve">3700752445728
</t>
  </si>
  <si>
    <t>Chicha</t>
  </si>
  <si>
    <t>Charbon Tom Cococha 9 cubes</t>
  </si>
  <si>
    <t>Grinders magnétiques display 16</t>
  </si>
  <si>
    <t>Grinders magnétiques display 24</t>
  </si>
  <si>
    <t>POPPERS</t>
  </si>
  <si>
    <t>Rush display</t>
  </si>
  <si>
    <t>10ml</t>
  </si>
  <si>
    <t>Super Rush display</t>
  </si>
  <si>
    <t>BRIQUETS</t>
  </si>
  <si>
    <t>Briquets pierre</t>
  </si>
  <si>
    <t>Briquets électroniques</t>
  </si>
  <si>
    <t>Briquets d'allumage BOB MARLEY BIC</t>
  </si>
  <si>
    <t>MINI BIC</t>
  </si>
  <si>
    <t>MAXI BIC</t>
  </si>
  <si>
    <t>Briquets CLIPPER rechargeables</t>
  </si>
  <si>
    <t>LES PILES VARTA</t>
  </si>
  <si>
    <t>LR06 (AAA) Longlife x4 (réf.1)</t>
  </si>
  <si>
    <t>LR03 (AAA) Longlife x4 (réf.2)</t>
  </si>
  <si>
    <t>LR14 ( C ) Longlife x2 (réf.3)</t>
  </si>
  <si>
    <t>LR20 ( D ) Longlife x2 (réf.4)</t>
  </si>
  <si>
    <t>LR06 (AA) Longlife Power x4 (réf.5)</t>
  </si>
  <si>
    <t>LR03 (AAA) Longlife Power x4 (réf.6)</t>
  </si>
  <si>
    <t>LR14 ( C ) Longlife Power x2 (réf.7)</t>
  </si>
  <si>
    <t>LR20 (D) Longlife Power x2 (réf.8)</t>
  </si>
  <si>
    <t>6LR61 (9V) Longlife x1 (réf.9)</t>
  </si>
  <si>
    <t>6LR61 (9V) Longlife Power x1 (réf.10)</t>
  </si>
  <si>
    <t>3LR12 (4,5V) Longlife Power x1 (réf.11)</t>
  </si>
  <si>
    <t>V23GA (blister de 1) (réf.12)</t>
  </si>
  <si>
    <t>CR2 x1 (réf.13)</t>
  </si>
  <si>
    <t>CR123 x1 (réf.14)</t>
  </si>
  <si>
    <t>BASIC LINE ACCU VARTA AA 2100 MAH x4 (réf.15)</t>
  </si>
  <si>
    <t>BASIC LINE ACCU VARTA AAA 800 MAH x4 (réf.16)</t>
  </si>
  <si>
    <t>CR2016 (blister de 1) (réf.17)</t>
  </si>
  <si>
    <t>CR2025 (blister de 1) (réf.18)</t>
  </si>
  <si>
    <t>CR2032 (blister de 1) (réf.19)</t>
  </si>
  <si>
    <t>LR44 - V13GA (blister de 1) (réf.20)</t>
  </si>
  <si>
    <t>CR1616 (blister de 1) (réf.21)</t>
  </si>
  <si>
    <t>CR2016 (blister de 2) (réf.22)</t>
  </si>
  <si>
    <t>CR2025 (blister de 2) (réf.23)</t>
  </si>
  <si>
    <t>CR2032 (blister de 2) (réf.24)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</si>
  <si>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</si>
  <si>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</si>
  <si>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</si>
  <si>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</si>
  <si>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</si>
  <si>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</si>
  <si>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LES ACCESSOIRES POUR MOBILE</t>
  </si>
  <si>
    <t>PRÉSENTOIRS</t>
  </si>
  <si>
    <t>9 Broches WYN</t>
  </si>
  <si>
    <t>12 Broches WYN</t>
  </si>
  <si>
    <t>28 Broches WYN</t>
  </si>
  <si>
    <t>35 Broches WYN</t>
  </si>
  <si>
    <t>CÂBLES STANDARD</t>
  </si>
  <si>
    <t>Câble Standard Type-C (réf.W1)</t>
  </si>
  <si>
    <t>1,2m</t>
  </si>
  <si>
    <t>Câble Standard Lightning (réf.W2)</t>
  </si>
  <si>
    <t>Câble Standard Micro USB (réf.W3)</t>
  </si>
  <si>
    <t>Câble XXL Type-C (réf.W4)</t>
  </si>
  <si>
    <t>2m</t>
  </si>
  <si>
    <t>Câble XXL Lightning (réf.W5)</t>
  </si>
  <si>
    <t>Câble 5 en 1 (réf.W6)</t>
  </si>
  <si>
    <t>CÂBLES FAST</t>
  </si>
  <si>
    <t>Câble Fast Type-C vers Lightning (réf. W7)</t>
  </si>
  <si>
    <t>1m</t>
  </si>
  <si>
    <t>Câble Fast Lightning Type-C vers Type-C (réf.W8)</t>
  </si>
  <si>
    <t>CÂBLES MÉTAL TRÉSSÉS</t>
  </si>
  <si>
    <t>Câble Métal tressé Lighting (réf.W9)</t>
  </si>
  <si>
    <t>Câble Métal tressé Micro USB (réf.W10)</t>
  </si>
  <si>
    <t>Câble Métal tressé Type-C (réf.W11)</t>
  </si>
  <si>
    <t>Câble Métal tressé 3 en 1 (réf.W12)</t>
  </si>
  <si>
    <t>CHARGEURS</t>
  </si>
  <si>
    <t>Standard sans câble secteur 2 ports USB (réf.W13)</t>
  </si>
  <si>
    <t>Fast sans câble 1 port Type-C et USB (réf.W14)</t>
  </si>
  <si>
    <t>Double Fast sans câble (2 ports USBType-C) (réf.W15)</t>
  </si>
  <si>
    <t>Chargeur à induction (réf.W16)</t>
  </si>
  <si>
    <t>ADAPTATEURS</t>
  </si>
  <si>
    <t>Adaptateur double prise Jack (réf.W17)</t>
  </si>
  <si>
    <t>Adaptateur 2 en 1 pour iPhone (réf.W18)</t>
  </si>
  <si>
    <t>Adaptateur USB vers TYPE C (réf.W19)</t>
  </si>
  <si>
    <t>Adaptateur pour carte SIM (réf.W20)</t>
  </si>
  <si>
    <t>TÉLÉPHONES</t>
  </si>
  <si>
    <t>Téléphone BM10 carte nano slim (réf.W21)</t>
  </si>
  <si>
    <t>Téléphone UNO Black radio torche vidéo (réf.W22)</t>
  </si>
  <si>
    <t>Téléphone Sim+10€ crédit prépayé (réf.W23)</t>
  </si>
  <si>
    <t>BATTERIES</t>
  </si>
  <si>
    <t>Batterie de secours INDUCTION 5000mAh (réf.W25)</t>
  </si>
  <si>
    <t>ÉCOUTEURS FILAIRES</t>
  </si>
  <si>
    <t>Connecteur Jack (réf.W26)</t>
  </si>
  <si>
    <t>Connecteur Type-C (réf.W27)</t>
  </si>
  <si>
    <t>Connecteur Lightning (réf.W28)</t>
  </si>
  <si>
    <t xml:space="preserve">3760295915317
</t>
  </si>
  <si>
    <t>ÉCOUTEURS BLUETOOTH</t>
  </si>
  <si>
    <t>Écouteurs mini sans fil (réf.W29)</t>
  </si>
  <si>
    <t>Écouteurs mini sans fil PRO+ (réf.W30)</t>
  </si>
  <si>
    <t>ACCESOIRES VOITURE</t>
  </si>
  <si>
    <t>Support grille d’aération (réf.W31)</t>
  </si>
  <si>
    <t>Support tableau de bord (réf.W32)</t>
  </si>
  <si>
    <t>Support pare-brise (réf.W33)</t>
  </si>
  <si>
    <t>Charg.allume cigare Ports USB Type-C et Type-A(réf.W34)</t>
  </si>
  <si>
    <t>AUTRES</t>
  </si>
  <si>
    <t>Pochette étanche universelle (réf.W35)</t>
  </si>
  <si>
    <t>Enceinte Bluetooth (réf.W36)</t>
  </si>
  <si>
    <t>TORNADO WHITE RABBIT 15000 puffs 2% NICOTINE</t>
  </si>
  <si>
    <t>BLUEBERRY ICE</t>
  </si>
  <si>
    <t>BLUEBERRY RASPBERRY</t>
  </si>
  <si>
    <t>COLA ICE</t>
  </si>
  <si>
    <t>DOUBLE BUBBLE GUM</t>
  </si>
  <si>
    <t>DRAGON FRUIT ICE</t>
  </si>
  <si>
    <t>FIZZY BERRIES</t>
  </si>
  <si>
    <t>MANGO PEACH WATERMELON</t>
  </si>
  <si>
    <t>STRAWBERRY SLUSH</t>
  </si>
  <si>
    <t>STRAWBERRY WATERMELON ICE</t>
  </si>
  <si>
    <t>WATERMELON ICE</t>
  </si>
  <si>
    <t>JNR FALCON X PLUS 28000 puffs 2% NICOTINE</t>
  </si>
  <si>
    <t>BLACK DRAGON ICE</t>
  </si>
  <si>
    <t>BLUEBERRY POMEGRANATE ICE</t>
  </si>
  <si>
    <t>6977704950747</t>
  </si>
  <si>
    <t>BLUEBERRY RASPBERRY CHERRY</t>
  </si>
  <si>
    <t>6977704950693</t>
  </si>
  <si>
    <t xml:space="preserve">BLUEBERRY SOUR RASPBERRY </t>
  </si>
  <si>
    <t>6977704955582</t>
  </si>
  <si>
    <t xml:space="preserve">MANGO PASSION FRUIT </t>
  </si>
  <si>
    <t>6977704950679</t>
  </si>
  <si>
    <t>MIXED BERRIES</t>
  </si>
  <si>
    <t>PEACH BERRIES</t>
  </si>
  <si>
    <t xml:space="preserve">STRAWBERRY KIWI </t>
  </si>
  <si>
    <t>6977704950686</t>
  </si>
  <si>
    <t>6977704955209</t>
  </si>
  <si>
    <t>WATERMELON MANGO PEACH</t>
  </si>
  <si>
    <t>INFUSIONS CBD</t>
  </si>
  <si>
    <t>FLEURS DE CBD</t>
  </si>
  <si>
    <t>BIG BUDS 2g</t>
  </si>
  <si>
    <t>2g</t>
  </si>
  <si>
    <t>BIG BUDS 5g</t>
  </si>
  <si>
    <t>5g</t>
  </si>
  <si>
    <t>BIG BUDS 10g</t>
  </si>
  <si>
    <t>MINI BUDS 5g</t>
  </si>
  <si>
    <t>MINI BUDS 10g</t>
  </si>
  <si>
    <t>MINI BUDS 20g</t>
  </si>
  <si>
    <t>VRAC MINI Buds 1 KG</t>
  </si>
  <si>
    <t>1g</t>
  </si>
  <si>
    <t>VRAC MINI Buds 2 KG</t>
  </si>
  <si>
    <t>VRAC MINI Buds 5 KG</t>
  </si>
  <si>
    <t>PRODUITS CBD</t>
  </si>
  <si>
    <t>Easy Stick CBD</t>
  </si>
  <si>
    <t>Méga Stick CBD</t>
  </si>
  <si>
    <t>1,5g</t>
  </si>
  <si>
    <t>3760196026037</t>
  </si>
  <si>
    <t>Easy Stick CBN</t>
  </si>
  <si>
    <t>Spray ANTI-TRACE de THC</t>
  </si>
  <si>
    <t>20ml</t>
  </si>
  <si>
    <t>TOTAL COLIS COMMANDÉS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</si>
</sst>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"/>
    <numFmt numFmtId="165" formatCode="0.000"/>
    <numFmt numFmtId="166" formatCode="0,000,000,000,000"/>
    <numFmt numFmtId="167" formatCode="#,##0.00\ &quot;€&quot;"/>
  </numFmts>
  <fonts count="36">
    <font>
      <sz val="11.0"/>
      <color theme="1"/>
      <name val="Calibri"/>
      <scheme val="minor"/>
    </font>
    <font>
      <sz val="6.0"/>
      <color theme="1"/>
      <name val="Arial"/>
    </font>
    <font>
      <sz val="6.0"/>
      <color rgb="FF000000"/>
      <name val="Arial"/>
    </font>
    <font>
      <sz val="10.0"/>
      <color theme="1"/>
      <name val="Calibri"/>
    </font>
    <font>
      <b/>
      <sz val="9.0"/>
      <color rgb="FF7030A0"/>
      <name val="Calibri"/>
    </font>
    <font>
      <sz val="11.0"/>
      <color theme="1"/>
      <name val="Calibri"/>
    </font>
    <font>
      <sz val="5.0"/>
      <color theme="1"/>
      <name val="Calibri"/>
    </font>
    <font/>
    <font>
      <b/>
      <sz val="6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8.0"/>
      <color rgb="FF000000"/>
      <name val="Arial"/>
    </font>
    <font>
      <sz val="8.0"/>
      <color rgb="FF000000"/>
      <name val="Arial"/>
    </font>
    <font>
      <b/>
      <sz val="8.0"/>
      <color rgb="FF7030A0"/>
      <name val="Calibri"/>
    </font>
    <font>
      <sz val="8.0"/>
      <color theme="1"/>
      <name val="Calibri"/>
    </font>
    <font>
      <b/>
      <sz val="7.0"/>
      <color theme="1"/>
      <name val="Arial"/>
    </font>
    <font>
      <sz val="7.0"/>
      <color theme="1"/>
      <name val="Calibri"/>
    </font>
    <font>
      <sz val="7.0"/>
      <color theme="1"/>
      <name val="Arial"/>
    </font>
    <font>
      <sz val="7.0"/>
      <color rgb="FFFF00FF"/>
      <name val="Arial"/>
    </font>
    <font>
      <sz val="7.0"/>
      <color rgb="FF000000"/>
      <name val="Arial"/>
    </font>
    <font>
      <sz val="6.0"/>
      <color rgb="FF333333"/>
      <name val="Arial"/>
    </font>
    <font>
      <sz val="6.0"/>
      <color rgb="FF222222"/>
      <name val="Arial"/>
    </font>
    <font>
      <b/>
      <sz val="6.0"/>
      <color rgb="FF000000"/>
      <name val="Arial"/>
    </font>
    <font>
      <sz val="6.0"/>
      <color rgb="FF434343"/>
      <name val="Arial"/>
    </font>
    <font>
      <sz val="6.0"/>
      <color rgb="FF000000"/>
      <name val="Sans-serif"/>
    </font>
    <font>
      <sz val="5.0"/>
      <color theme="1"/>
      <name val="Arial"/>
    </font>
    <font>
      <b/>
      <sz val="7.0"/>
      <color rgb="FF000000"/>
      <name val="Arial"/>
    </font>
    <font>
      <b/>
      <sz val="7.0"/>
      <color rgb="FF7030A0"/>
      <name val="Calibri"/>
    </font>
    <font>
      <sz val="6.0"/>
      <color rgb="FF262626"/>
      <name val="Arial"/>
    </font>
    <font>
      <b/>
      <sz val="8.0"/>
      <color rgb="FFFF0000"/>
      <name val="Arial"/>
    </font>
    <font>
      <sz val="6.0"/>
      <color rgb="FF292929"/>
      <name val="Arial"/>
    </font>
    <font>
      <sz val="6.0"/>
      <color rgb="FF222221"/>
      <name val="Arial"/>
    </font>
    <font>
      <sz val="6.0"/>
      <color rgb="FFFF00FF"/>
      <name val="Arial"/>
    </font>
    <font>
      <sz val="9.0"/>
      <color rgb="FFFF00FF"/>
      <name val="Calibri"/>
    </font>
    <font>
      <b/>
      <sz val="6.0"/>
      <color rgb="FF7030A0"/>
      <name val="Arial"/>
    </font>
    <font>
      <b/>
      <sz val="9.0"/>
      <color rgb="FF7030A0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rgb="FFF6F8F9"/>
        <bgColor rgb="FFF6F8F9"/>
      </patternFill>
    </fill>
    <fill>
      <patternFill patternType="solid">
        <fgColor rgb="FFF9F9F9"/>
        <bgColor rgb="FFF9F9F9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</fills>
  <borders count="14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shrinkToFit="0" vertical="center" wrapText="1"/>
    </xf>
    <xf borderId="1" fillId="2" fontId="2" numFmtId="164" xfId="0" applyAlignment="1" applyBorder="1" applyFont="1" applyNumberFormat="1">
      <alignment shrinkToFit="0" vertical="center" wrapText="1"/>
    </xf>
    <xf borderId="1" fillId="2" fontId="1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wrapText="1"/>
    </xf>
    <xf borderId="1" fillId="2" fontId="2" numFmtId="2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Border="1" applyFont="1"/>
    <xf borderId="2" fillId="2" fontId="6" numFmtId="49" xfId="0" applyAlignment="1" applyBorder="1" applyFont="1" applyNumberFormat="1">
      <alignment horizontal="left" shrinkToFit="0" wrapText="1"/>
    </xf>
    <xf borderId="3" fillId="0" fontId="7" numFmtId="0" xfId="0" applyBorder="1" applyFont="1"/>
    <xf borderId="1" fillId="2" fontId="5" numFmtId="0" xfId="0" applyAlignment="1" applyBorder="1" applyFont="1">
      <alignment horizontal="center"/>
    </xf>
    <xf borderId="4" fillId="3" fontId="1" numFmtId="49" xfId="0" applyAlignment="1" applyBorder="1" applyFill="1" applyFont="1" applyNumberFormat="1">
      <alignment shrinkToFit="0" vertical="center" wrapText="1"/>
    </xf>
    <xf borderId="4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6" fillId="3" fontId="2" numFmtId="2" xfId="0" applyAlignment="1" applyBorder="1" applyFont="1" applyNumberFormat="1">
      <alignment horizontal="center" shrinkToFit="0" vertical="center" wrapText="1"/>
    </xf>
    <xf borderId="4" fillId="3" fontId="2" numFmtId="2" xfId="0" applyAlignment="1" applyBorder="1" applyFont="1" applyNumberFormat="1">
      <alignment horizontal="center" shrinkToFit="0" vertical="center" wrapText="1"/>
    </xf>
    <xf borderId="4" fillId="0" fontId="8" numFmtId="2" xfId="0" applyAlignment="1" applyBorder="1" applyFont="1" applyNumberFormat="1">
      <alignment horizontal="center" vertical="center"/>
    </xf>
    <xf borderId="0" fillId="0" fontId="9" numFmtId="0" xfId="0" applyFont="1"/>
    <xf borderId="4" fillId="4" fontId="10" numFmtId="0" xfId="0" applyAlignment="1" applyBorder="1" applyFill="1" applyFont="1">
      <alignment shrinkToFit="0" vertical="center" wrapText="1"/>
    </xf>
    <xf borderId="4" fillId="4" fontId="10" numFmtId="0" xfId="0" applyAlignment="1" applyBorder="1" applyFont="1">
      <alignment vertical="center"/>
    </xf>
    <xf borderId="5" fillId="4" fontId="10" numFmtId="0" xfId="0" applyAlignment="1" applyBorder="1" applyFont="1">
      <alignment shrinkToFit="0" vertical="center" wrapText="1"/>
    </xf>
    <xf borderId="4" fillId="4" fontId="11" numFmtId="164" xfId="0" applyAlignment="1" applyBorder="1" applyFont="1" applyNumberFormat="1">
      <alignment horizontal="center" shrinkToFit="0" vertical="center" wrapText="1"/>
    </xf>
    <xf borderId="6" fillId="4" fontId="12" numFmtId="2" xfId="0" applyAlignment="1" applyBorder="1" applyFont="1" applyNumberFormat="1">
      <alignment horizontal="center" shrinkToFit="0" vertical="center" wrapText="1"/>
    </xf>
    <xf borderId="4" fillId="4" fontId="12" numFmtId="2" xfId="0" applyAlignment="1" applyBorder="1" applyFont="1" applyNumberFormat="1">
      <alignment horizontal="center" shrinkToFit="0" vertical="center" wrapText="1"/>
    </xf>
    <xf borderId="4" fillId="4" fontId="13" numFmtId="0" xfId="0" applyAlignment="1" applyBorder="1" applyFont="1">
      <alignment horizontal="center" vertical="center"/>
    </xf>
    <xf borderId="4" fillId="4" fontId="14" numFmtId="0" xfId="0" applyBorder="1" applyFont="1"/>
    <xf borderId="4" fillId="5" fontId="15" numFmtId="49" xfId="0" applyAlignment="1" applyBorder="1" applyFill="1" applyFont="1" applyNumberFormat="1">
      <alignment shrinkToFit="0" vertical="center" wrapText="1"/>
    </xf>
    <xf borderId="4" fillId="5" fontId="1" numFmtId="0" xfId="0" applyAlignment="1" applyBorder="1" applyFont="1">
      <alignment vertical="center"/>
    </xf>
    <xf borderId="5" fillId="5" fontId="1" numFmtId="0" xfId="0" applyAlignment="1" applyBorder="1" applyFont="1">
      <alignment shrinkToFit="0" vertical="center" wrapText="1"/>
    </xf>
    <xf borderId="4" fillId="5" fontId="2" numFmtId="164" xfId="0" applyAlignment="1" applyBorder="1" applyFont="1" applyNumberFormat="1">
      <alignment horizontal="center" shrinkToFit="0" vertical="center" wrapText="1"/>
    </xf>
    <xf borderId="6" fillId="5" fontId="16" numFmtId="2" xfId="0" applyBorder="1" applyFont="1" applyNumberFormat="1"/>
    <xf borderId="4" fillId="5" fontId="2" numFmtId="2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5" numFmtId="0" xfId="0" applyBorder="1" applyFont="1"/>
    <xf borderId="4" fillId="5" fontId="17" numFmtId="49" xfId="0" applyAlignment="1" applyBorder="1" applyFont="1" applyNumberFormat="1">
      <alignment shrinkToFit="0" vertical="center" wrapText="1"/>
    </xf>
    <xf borderId="4" fillId="5" fontId="1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shrinkToFit="0" vertical="center" wrapText="1"/>
    </xf>
    <xf borderId="6" fillId="6" fontId="2" numFmtId="2" xfId="0" applyAlignment="1" applyBorder="1" applyFill="1" applyFont="1" applyNumberFormat="1">
      <alignment horizontal="center" shrinkToFit="0" vertical="center" wrapText="1"/>
    </xf>
    <xf borderId="4" fillId="0" fontId="5" numFmtId="2" xfId="0" applyAlignment="1" applyBorder="1" applyFont="1" applyNumberFormat="1">
      <alignment horizontal="center" vertical="center"/>
    </xf>
    <xf borderId="1" fillId="5" fontId="5" numFmtId="0" xfId="0" applyBorder="1" applyFont="1"/>
    <xf borderId="4" fillId="5" fontId="4" numFmtId="0" xfId="0" applyAlignment="1" applyBorder="1" applyFont="1">
      <alignment horizontal="center" vertical="center"/>
    </xf>
    <xf borderId="4" fillId="5" fontId="5" numFmtId="2" xfId="0" applyAlignment="1" applyBorder="1" applyFont="1" applyNumberFormat="1">
      <alignment horizontal="center" vertical="center"/>
    </xf>
    <xf borderId="4" fillId="5" fontId="18" numFmtId="49" xfId="0" applyAlignment="1" applyBorder="1" applyFont="1" applyNumberFormat="1">
      <alignment shrinkToFit="0" vertical="center" wrapText="1"/>
    </xf>
    <xf borderId="4" fillId="5" fontId="19" numFmtId="49" xfId="0" applyAlignment="1" applyBorder="1" applyFont="1" applyNumberFormat="1">
      <alignment shrinkToFit="0" vertical="center" wrapText="1"/>
    </xf>
    <xf borderId="4" fillId="0" fontId="17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18" numFmtId="49" xfId="0" applyAlignment="1" applyBorder="1" applyFont="1" applyNumberFormat="1">
      <alignment vertical="center"/>
    </xf>
    <xf borderId="4" fillId="5" fontId="18" numFmtId="49" xfId="0" applyAlignment="1" applyBorder="1" applyFont="1" applyNumberFormat="1">
      <alignment vertical="center"/>
    </xf>
    <xf borderId="4" fillId="5" fontId="17" numFmtId="0" xfId="0" applyAlignment="1" applyBorder="1" applyFont="1">
      <alignment horizontal="center" vertical="center"/>
    </xf>
    <xf borderId="0" fillId="5" fontId="1" numFmtId="164" xfId="0" applyAlignment="1" applyFont="1" applyNumberFormat="1">
      <alignment horizontal="center" vertical="center"/>
    </xf>
    <xf borderId="4" fillId="6" fontId="1" numFmtId="2" xfId="0" applyAlignment="1" applyBorder="1" applyFont="1" applyNumberFormat="1">
      <alignment horizontal="center" vertical="center"/>
    </xf>
    <xf borderId="4" fillId="5" fontId="1" numFmtId="2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6" fillId="6" fontId="1" numFmtId="2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 vertical="center"/>
    </xf>
    <xf quotePrefix="1" borderId="4" fillId="5" fontId="1" numFmtId="164" xfId="0" applyAlignment="1" applyBorder="1" applyFont="1" applyNumberFormat="1">
      <alignment horizontal="center" vertical="center"/>
    </xf>
    <xf borderId="4" fillId="0" fontId="20" numFmtId="164" xfId="0" applyAlignment="1" applyBorder="1" applyFont="1" applyNumberFormat="1">
      <alignment horizontal="center" vertical="center"/>
    </xf>
    <xf borderId="4" fillId="0" fontId="1" numFmtId="2" xfId="0" applyAlignment="1" applyBorder="1" applyFont="1" applyNumberFormat="1">
      <alignment horizontal="center" vertical="center"/>
    </xf>
    <xf borderId="4" fillId="0" fontId="21" numFmtId="164" xfId="0" applyAlignment="1" applyBorder="1" applyFont="1" applyNumberFormat="1">
      <alignment horizontal="center" vertical="center"/>
    </xf>
    <xf borderId="4" fillId="5" fontId="20" numFmtId="164" xfId="0" applyAlignment="1" applyBorder="1" applyFont="1" applyNumberFormat="1">
      <alignment horizontal="center" vertical="center"/>
    </xf>
    <xf borderId="4" fillId="4" fontId="8" numFmtId="0" xfId="0" applyAlignment="1" applyBorder="1" applyFont="1">
      <alignment vertical="center"/>
    </xf>
    <xf borderId="5" fillId="4" fontId="8" numFmtId="0" xfId="0" applyAlignment="1" applyBorder="1" applyFont="1">
      <alignment shrinkToFit="0" vertical="center" wrapText="1"/>
    </xf>
    <xf borderId="4" fillId="4" fontId="22" numFmtId="164" xfId="0" applyAlignment="1" applyBorder="1" applyFont="1" applyNumberFormat="1">
      <alignment horizontal="center" shrinkToFit="0" vertical="center" wrapText="1"/>
    </xf>
    <xf borderId="6" fillId="4" fontId="2" numFmtId="2" xfId="0" applyAlignment="1" applyBorder="1" applyFont="1" applyNumberFormat="1">
      <alignment horizontal="center" shrinkToFit="0" vertical="center" wrapText="1"/>
    </xf>
    <xf borderId="4" fillId="4" fontId="2" numFmtId="2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4" fillId="4" fontId="5" numFmtId="2" xfId="0" applyAlignment="1" applyBorder="1" applyFont="1" applyNumberFormat="1">
      <alignment horizontal="center" vertical="center"/>
    </xf>
    <xf borderId="4" fillId="0" fontId="18" numFmtId="49" xfId="0" applyAlignment="1" applyBorder="1" applyFont="1" applyNumberFormat="1">
      <alignment horizontal="left" vertical="center"/>
    </xf>
    <xf borderId="4" fillId="5" fontId="10" numFmtId="49" xfId="0" applyAlignment="1" applyBorder="1" applyFont="1" applyNumberFormat="1">
      <alignment shrinkToFit="0" vertical="center" wrapText="1"/>
    </xf>
    <xf borderId="4" fillId="5" fontId="1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shrinkToFit="0" vertical="center" wrapText="1"/>
    </xf>
    <xf borderId="4" fillId="2" fontId="18" numFmtId="49" xfId="0" applyAlignment="1" applyBorder="1" applyFont="1" applyNumberFormat="1">
      <alignment vertical="center"/>
    </xf>
    <xf borderId="4" fillId="5" fontId="2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4" fillId="5" fontId="2" numFmtId="164" xfId="0" applyAlignment="1" applyBorder="1" applyFont="1" applyNumberFormat="1">
      <alignment horizontal="center" vertical="center"/>
    </xf>
    <xf borderId="6" fillId="6" fontId="23" numFmtId="2" xfId="0" applyAlignment="1" applyBorder="1" applyFont="1" applyNumberFormat="1">
      <alignment horizontal="center" vertical="center"/>
    </xf>
    <xf borderId="4" fillId="0" fontId="1" numFmtId="2" xfId="0" applyAlignment="1" applyBorder="1" applyFont="1" applyNumberFormat="1">
      <alignment horizontal="center" vertical="center"/>
    </xf>
    <xf borderId="4" fillId="7" fontId="2" numFmtId="0" xfId="0" applyAlignment="1" applyBorder="1" applyFill="1" applyFont="1">
      <alignment horizontal="center" vertical="center"/>
    </xf>
    <xf borderId="5" fillId="7" fontId="2" numFmtId="0" xfId="0" applyAlignment="1" applyBorder="1" applyFont="1">
      <alignment horizontal="center" vertical="center"/>
    </xf>
    <xf borderId="4" fillId="7" fontId="2" numFmtId="164" xfId="0" applyAlignment="1" applyBorder="1" applyFont="1" applyNumberFormat="1">
      <alignment horizontal="center" vertical="center"/>
    </xf>
    <xf borderId="5" fillId="5" fontId="1" numFmtId="49" xfId="0" applyAlignment="1" applyBorder="1" applyFont="1" applyNumberFormat="1">
      <alignment horizontal="center" vertical="center"/>
    </xf>
    <xf borderId="4" fillId="5" fontId="1" numFmtId="49" xfId="0" applyAlignment="1" applyBorder="1" applyFont="1" applyNumberFormat="1">
      <alignment horizontal="center" vertical="center"/>
    </xf>
    <xf borderId="4" fillId="5" fontId="1" numFmtId="164" xfId="0" applyAlignment="1" applyBorder="1" applyFont="1" applyNumberFormat="1">
      <alignment horizontal="center" readingOrder="0" vertical="center"/>
    </xf>
    <xf borderId="4" fillId="5" fontId="1" numFmtId="2" xfId="0" applyAlignment="1" applyBorder="1" applyFont="1" applyNumberForma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4" fillId="5" fontId="1" numFmtId="164" xfId="0" applyAlignment="1" applyBorder="1" applyFont="1" applyNumberFormat="1">
      <alignment horizontal="center" shrinkToFit="0" vertical="center" wrapText="1"/>
    </xf>
    <xf borderId="4" fillId="6" fontId="1" numFmtId="2" xfId="0" applyAlignment="1" applyBorder="1" applyFont="1" applyNumberFormat="1">
      <alignment horizontal="center" shrinkToFit="0" vertical="center" wrapText="1"/>
    </xf>
    <xf borderId="4" fillId="5" fontId="2" numFmtId="164" xfId="0" applyAlignment="1" applyBorder="1" applyFont="1" applyNumberFormat="1">
      <alignment horizontal="center" vertical="center"/>
    </xf>
    <xf borderId="4" fillId="5" fontId="15" numFmtId="0" xfId="0" applyAlignment="1" applyBorder="1" applyFont="1">
      <alignment shrinkToFit="0" vertical="center" wrapText="1"/>
    </xf>
    <xf borderId="4" fillId="5" fontId="8" numFmtId="0" xfId="0" applyAlignment="1" applyBorder="1" applyFont="1">
      <alignment vertical="center"/>
    </xf>
    <xf borderId="5" fillId="5" fontId="8" numFmtId="0" xfId="0" applyAlignment="1" applyBorder="1" applyFont="1">
      <alignment shrinkToFit="0" vertical="center" wrapText="1"/>
    </xf>
    <xf borderId="4" fillId="5" fontId="22" numFmtId="164" xfId="0" applyAlignment="1" applyBorder="1" applyFont="1" applyNumberFormat="1">
      <alignment horizontal="center" shrinkToFit="0" vertical="center" wrapText="1"/>
    </xf>
    <xf borderId="4" fillId="5" fontId="18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wrapText="1"/>
    </xf>
    <xf borderId="4" fillId="0" fontId="18" numFmtId="49" xfId="0" applyAlignment="1" applyBorder="1" applyFont="1" applyNumberFormat="1">
      <alignment shrinkToFit="0" vertical="center" wrapText="1"/>
    </xf>
    <xf borderId="4" fillId="5" fontId="17" numFmtId="49" xfId="0" applyAlignment="1" applyBorder="1" applyFont="1" applyNumberFormat="1">
      <alignment vertical="center"/>
    </xf>
    <xf borderId="4" fillId="5" fontId="23" numFmtId="0" xfId="0" applyAlignment="1" applyBorder="1" applyFont="1">
      <alignment horizontal="center" vertical="center"/>
    </xf>
    <xf borderId="5" fillId="5" fontId="23" numFmtId="0" xfId="0" applyAlignment="1" applyBorder="1" applyFont="1">
      <alignment horizontal="center" vertical="center"/>
    </xf>
    <xf borderId="6" fillId="6" fontId="23" numFmtId="2" xfId="0" applyAlignment="1" applyBorder="1" applyFont="1" applyNumberFormat="1">
      <alignment horizontal="center" vertical="center"/>
    </xf>
    <xf borderId="0" fillId="0" fontId="5" numFmtId="0" xfId="0" applyFont="1"/>
    <xf borderId="4" fillId="0" fontId="2" numFmtId="164" xfId="0" applyAlignment="1" applyBorder="1" applyFont="1" applyNumberFormat="1">
      <alignment horizontal="center" vertical="center"/>
    </xf>
    <xf borderId="4" fillId="5" fontId="24" numFmtId="164" xfId="0" applyAlignment="1" applyBorder="1" applyFont="1" applyNumberFormat="1">
      <alignment horizontal="center" vertical="center"/>
    </xf>
    <xf borderId="4" fillId="0" fontId="25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/>
    </xf>
    <xf borderId="0" fillId="0" fontId="5" numFmtId="49" xfId="0" applyFont="1" applyNumberFormat="1"/>
    <xf borderId="4" fillId="0" fontId="18" numFmtId="49" xfId="0" applyAlignment="1" applyBorder="1" applyFont="1" applyNumberFormat="1">
      <alignment horizontal="left" shrinkToFit="0" vertical="center" wrapText="1"/>
    </xf>
    <xf borderId="6" fillId="6" fontId="2" numFmtId="165" xfId="0" applyAlignment="1" applyBorder="1" applyFont="1" applyNumberForma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vertical="center"/>
    </xf>
    <xf borderId="5" fillId="5" fontId="15" numFmtId="0" xfId="0" applyAlignment="1" applyBorder="1" applyFont="1">
      <alignment shrinkToFit="0" vertical="center" wrapText="1"/>
    </xf>
    <xf borderId="4" fillId="5" fontId="26" numFmtId="164" xfId="0" applyAlignment="1" applyBorder="1" applyFont="1" applyNumberFormat="1">
      <alignment horizontal="center" shrinkToFit="0" vertical="center" wrapText="1"/>
    </xf>
    <xf borderId="4" fillId="5" fontId="19" numFmtId="2" xfId="0" applyAlignment="1" applyBorder="1" applyFont="1" applyNumberFormat="1">
      <alignment horizontal="center" shrinkToFit="0" vertical="center" wrapText="1"/>
    </xf>
    <xf borderId="4" fillId="5" fontId="27" numFmtId="0" xfId="0" applyAlignment="1" applyBorder="1" applyFont="1">
      <alignment horizontal="center" vertical="center"/>
    </xf>
    <xf borderId="4" fillId="5" fontId="16" numFmtId="2" xfId="0" applyAlignment="1" applyBorder="1" applyFont="1" applyNumberFormat="1">
      <alignment horizontal="center" vertical="center"/>
    </xf>
    <xf borderId="4" fillId="8" fontId="2" numFmtId="164" xfId="0" applyAlignment="1" applyBorder="1" applyFill="1" applyFont="1" applyNumberFormat="1">
      <alignment horizontal="center" vertical="center"/>
    </xf>
    <xf borderId="4" fillId="2" fontId="17" numFmtId="0" xfId="0" applyAlignment="1" applyBorder="1" applyFont="1">
      <alignment horizontal="left" vertical="center"/>
    </xf>
    <xf borderId="4" fillId="4" fontId="14" numFmtId="2" xfId="0" applyAlignment="1" applyBorder="1" applyFont="1" applyNumberFormat="1">
      <alignment horizontal="center" vertical="center"/>
    </xf>
    <xf borderId="4" fillId="5" fontId="17" numFmtId="49" xfId="0" applyAlignment="1" applyBorder="1" applyFont="1" applyNumberFormat="1">
      <alignment shrinkToFit="0" wrapText="1"/>
    </xf>
    <xf borderId="4" fillId="5" fontId="18" numFmtId="0" xfId="0" applyAlignment="1" applyBorder="1" applyFont="1">
      <alignment horizontal="left" vertical="center"/>
    </xf>
    <xf borderId="4" fillId="5" fontId="28" numFmtId="164" xfId="0" applyAlignment="1" applyBorder="1" applyFont="1" applyNumberFormat="1">
      <alignment horizontal="center" vertical="center"/>
    </xf>
    <xf borderId="4" fillId="5" fontId="1" numFmtId="0" xfId="0" applyBorder="1" applyFont="1"/>
    <xf borderId="5" fillId="5" fontId="1" numFmtId="0" xfId="0" applyAlignment="1" applyBorder="1" applyFont="1">
      <alignment shrinkToFit="0" wrapText="1"/>
    </xf>
    <xf borderId="5" fillId="5" fontId="1" numFmtId="0" xfId="0" applyAlignment="1" applyBorder="1" applyFont="1">
      <alignment horizontal="center" shrinkToFit="0" wrapText="1"/>
    </xf>
    <xf borderId="4" fillId="9" fontId="10" numFmtId="0" xfId="0" applyAlignment="1" applyBorder="1" applyFill="1" applyFont="1">
      <alignment shrinkToFit="0" vertical="center" wrapText="1"/>
    </xf>
    <xf borderId="4" fillId="9" fontId="29" numFmtId="0" xfId="0" applyAlignment="1" applyBorder="1" applyFont="1">
      <alignment vertical="center"/>
    </xf>
    <xf borderId="5" fillId="9" fontId="29" numFmtId="0" xfId="0" applyAlignment="1" applyBorder="1" applyFont="1">
      <alignment shrinkToFit="0" vertical="center" wrapText="1"/>
    </xf>
    <xf borderId="4" fillId="9" fontId="11" numFmtId="164" xfId="0" applyAlignment="1" applyBorder="1" applyFont="1" applyNumberFormat="1">
      <alignment horizontal="center" shrinkToFit="0" vertical="center" wrapText="1"/>
    </xf>
    <xf borderId="6" fillId="9" fontId="12" numFmtId="2" xfId="0" applyAlignment="1" applyBorder="1" applyFont="1" applyNumberFormat="1">
      <alignment horizontal="center" shrinkToFit="0" vertical="center" wrapText="1"/>
    </xf>
    <xf borderId="4" fillId="9" fontId="12" numFmtId="2" xfId="0" applyAlignment="1" applyBorder="1" applyFont="1" applyNumberFormat="1">
      <alignment horizontal="center" shrinkToFit="0" vertical="center" wrapText="1"/>
    </xf>
    <xf borderId="4" fillId="9" fontId="13" numFmtId="0" xfId="0" applyAlignment="1" applyBorder="1" applyFont="1">
      <alignment horizontal="center" vertical="center"/>
    </xf>
    <xf borderId="4" fillId="9" fontId="5" numFmtId="2" xfId="0" applyAlignment="1" applyBorder="1" applyFont="1" applyNumberFormat="1">
      <alignment horizontal="center" vertical="center"/>
    </xf>
    <xf borderId="4" fillId="5" fontId="20" numFmtId="2" xfId="0" applyAlignment="1" applyBorder="1" applyFont="1" applyNumberFormat="1">
      <alignment horizontal="center" vertical="center"/>
    </xf>
    <xf borderId="4" fillId="5" fontId="2" numFmtId="0" xfId="0" applyAlignment="1" applyBorder="1" applyFont="1">
      <alignment horizontal="center" vertical="center"/>
    </xf>
    <xf borderId="4" fillId="5" fontId="30" numFmtId="164" xfId="0" applyAlignment="1" applyBorder="1" applyFont="1" applyNumberFormat="1">
      <alignment horizontal="center" vertical="center"/>
    </xf>
    <xf borderId="4" fillId="5" fontId="26" numFmtId="49" xfId="0" applyAlignment="1" applyBorder="1" applyFont="1" applyNumberFormat="1">
      <alignment vertical="center"/>
    </xf>
    <xf borderId="4" fillId="5" fontId="1" numFmtId="0" xfId="0" applyAlignment="1" applyBorder="1" applyFont="1">
      <alignment horizontal="center"/>
    </xf>
    <xf borderId="5" fillId="5" fontId="1" numFmtId="49" xfId="0" applyAlignment="1" applyBorder="1" applyFont="1" applyNumberFormat="1">
      <alignment horizontal="center"/>
    </xf>
    <xf borderId="4" fillId="5" fontId="1" numFmtId="164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30" numFmtId="164" xfId="0" applyAlignment="1" applyBorder="1" applyFont="1" applyNumberFormat="1">
      <alignment horizontal="center" vertical="center"/>
    </xf>
    <xf quotePrefix="1" borderId="4" fillId="0" fontId="18" numFmtId="0" xfId="0" applyAlignment="1" applyBorder="1" applyFont="1">
      <alignment vertical="center"/>
    </xf>
    <xf borderId="4" fillId="0" fontId="18" numFmtId="0" xfId="0" applyAlignment="1" applyBorder="1" applyFont="1">
      <alignment vertical="center"/>
    </xf>
    <xf borderId="5" fillId="5" fontId="1" numFmtId="0" xfId="0" applyAlignment="1" applyBorder="1" applyFont="1">
      <alignment horizontal="center" vertical="center"/>
    </xf>
    <xf borderId="4" fillId="5" fontId="31" numFmtId="164" xfId="0" applyAlignment="1" applyBorder="1" applyFont="1" applyNumberFormat="1">
      <alignment horizontal="center" vertical="center"/>
    </xf>
    <xf borderId="4" fillId="4" fontId="10" numFmtId="49" xfId="0" applyAlignment="1" applyBorder="1" applyFont="1" applyNumberFormat="1">
      <alignment shrinkToFit="0" vertical="center" wrapText="1"/>
    </xf>
    <xf borderId="4" fillId="4" fontId="9" numFmtId="0" xfId="0" applyAlignment="1" applyBorder="1" applyFont="1">
      <alignment vertical="center"/>
    </xf>
    <xf borderId="5" fillId="4" fontId="9" numFmtId="0" xfId="0" applyAlignment="1" applyBorder="1" applyFont="1">
      <alignment shrinkToFit="0" vertical="center" wrapText="1"/>
    </xf>
    <xf borderId="4" fillId="4" fontId="12" numFmtId="164" xfId="0" applyAlignment="1" applyBorder="1" applyFont="1" applyNumberFormat="1">
      <alignment horizontal="center" shrinkToFit="0" vertical="center" wrapText="1"/>
    </xf>
    <xf borderId="4" fillId="5" fontId="15" numFmtId="49" xfId="0" applyAlignment="1" applyBorder="1" applyFont="1" applyNumberFormat="1">
      <alignment vertical="center"/>
    </xf>
    <xf borderId="4" fillId="5" fontId="16" numFmtId="0" xfId="0" applyBorder="1" applyFont="1"/>
    <xf borderId="5" fillId="5" fontId="16" numFmtId="0" xfId="0" applyBorder="1" applyFont="1"/>
    <xf borderId="4" fillId="5" fontId="16" numFmtId="164" xfId="0" applyAlignment="1" applyBorder="1" applyFont="1" applyNumberFormat="1">
      <alignment horizontal="center"/>
    </xf>
    <xf borderId="4" fillId="5" fontId="16" numFmtId="2" xfId="0" applyBorder="1" applyFont="1" applyNumberFormat="1"/>
    <xf borderId="4" fillId="0" fontId="26" numFmtId="49" xfId="0" applyAlignment="1" applyBorder="1" applyFont="1" applyNumberFormat="1">
      <alignment shrinkToFit="0" wrapText="1"/>
    </xf>
    <xf borderId="4" fillId="5" fontId="18" numFmtId="166" xfId="0" applyAlignment="1" applyBorder="1" applyFont="1" applyNumberFormat="1">
      <alignment shrinkToFit="0" vertical="center" wrapText="1"/>
    </xf>
    <xf borderId="4" fillId="0" fontId="26" numFmtId="49" xfId="0" applyAlignment="1" applyBorder="1" applyFont="1" applyNumberFormat="1">
      <alignment vertical="center"/>
    </xf>
    <xf borderId="8" fillId="0" fontId="4" numFmtId="0" xfId="0" applyAlignment="1" applyBorder="1" applyFont="1">
      <alignment horizontal="center" vertical="center"/>
    </xf>
    <xf borderId="4" fillId="10" fontId="2" numFmtId="164" xfId="0" applyAlignment="1" applyBorder="1" applyFill="1" applyFont="1" applyNumberFormat="1">
      <alignment horizontal="center" shrinkToFit="0" vertical="center" wrapText="1"/>
    </xf>
    <xf borderId="4" fillId="5" fontId="32" numFmtId="0" xfId="0" applyAlignment="1" applyBorder="1" applyFont="1">
      <alignment horizontal="center" vertical="center"/>
    </xf>
    <xf borderId="4" fillId="5" fontId="32" numFmtId="0" xfId="0" applyAlignment="1" applyBorder="1" applyFont="1">
      <alignment horizontal="center" shrinkToFit="0" vertical="center" wrapText="1"/>
    </xf>
    <xf borderId="4" fillId="5" fontId="32" numFmtId="164" xfId="0" applyAlignment="1" applyBorder="1" applyFont="1" applyNumberFormat="1">
      <alignment horizontal="center" shrinkToFit="0" vertical="center" wrapText="1"/>
    </xf>
    <xf borderId="4" fillId="6" fontId="32" numFmtId="2" xfId="0" applyAlignment="1" applyBorder="1" applyFont="1" applyNumberFormat="1">
      <alignment horizontal="center" shrinkToFit="0" vertical="center" wrapText="1"/>
    </xf>
    <xf borderId="4" fillId="5" fontId="32" numFmtId="2" xfId="0" applyAlignment="1" applyBorder="1" applyFont="1" applyNumberFormat="1">
      <alignment horizontal="center" shrinkToFit="0" vertical="center" wrapText="1"/>
    </xf>
    <xf borderId="4" fillId="11" fontId="20" numFmtId="0" xfId="0" applyAlignment="1" applyBorder="1" applyFill="1" applyFont="1">
      <alignment horizontal="center" vertical="center"/>
    </xf>
    <xf borderId="4" fillId="5" fontId="33" numFmtId="49" xfId="0" applyAlignment="1" applyBorder="1" applyFont="1" applyNumberFormat="1">
      <alignment vertical="center"/>
    </xf>
    <xf borderId="4" fillId="0" fontId="5" numFmtId="2" xfId="0" applyAlignment="1" applyBorder="1" applyFont="1" applyNumberFormat="1">
      <alignment horizontal="center"/>
    </xf>
    <xf borderId="4" fillId="5" fontId="18" numFmtId="3" xfId="0" applyAlignment="1" applyBorder="1" applyFont="1" applyNumberFormat="1">
      <alignment vertical="center"/>
    </xf>
    <xf borderId="6" fillId="6" fontId="1" numFmtId="0" xfId="0" applyAlignment="1" applyBorder="1" applyFont="1">
      <alignment horizontal="center" vertical="center"/>
    </xf>
    <xf borderId="4" fillId="5" fontId="18" numFmtId="166" xfId="0" applyAlignment="1" applyBorder="1" applyFont="1" applyNumberFormat="1">
      <alignment vertical="center"/>
    </xf>
    <xf borderId="5" fillId="5" fontId="2" numFmtId="0" xfId="0" applyAlignment="1" applyBorder="1" applyFont="1">
      <alignment horizontal="center" vertical="center"/>
    </xf>
    <xf borderId="4" fillId="5" fontId="21" numFmtId="164" xfId="0" applyAlignment="1" applyBorder="1" applyFont="1" applyNumberFormat="1">
      <alignment horizontal="center" vertical="center"/>
    </xf>
    <xf borderId="4" fillId="5" fontId="1" numFmtId="0" xfId="0" applyAlignment="1" applyBorder="1" applyFont="1">
      <alignment horizontal="center" vertical="top"/>
    </xf>
    <xf borderId="4" fillId="0" fontId="5" numFmtId="0" xfId="0" applyAlignment="1" applyBorder="1" applyFont="1">
      <alignment vertical="center"/>
    </xf>
    <xf borderId="4" fillId="5" fontId="15" numFmtId="49" xfId="0" applyAlignment="1" applyBorder="1" applyFont="1" applyNumberFormat="1">
      <alignment shrinkToFit="0" wrapText="1"/>
    </xf>
    <xf borderId="4" fillId="0" fontId="4" numFmtId="0" xfId="0" applyAlignment="1" applyBorder="1" applyFont="1">
      <alignment horizontal="center" readingOrder="0" vertical="center"/>
    </xf>
    <xf borderId="4" fillId="5" fontId="18" numFmtId="0" xfId="0" applyAlignment="1" applyBorder="1" applyFont="1">
      <alignment shrinkToFit="0" vertical="center" wrapText="1"/>
    </xf>
    <xf borderId="4" fillId="5" fontId="5" numFmtId="0" xfId="0" applyAlignment="1" applyBorder="1" applyFont="1">
      <alignment vertical="center"/>
    </xf>
    <xf borderId="1" fillId="5" fontId="18" numFmtId="0" xfId="0" applyAlignment="1" applyBorder="1" applyFont="1">
      <alignment vertical="center"/>
    </xf>
    <xf borderId="9" fillId="0" fontId="34" numFmtId="2" xfId="0" applyAlignment="1" applyBorder="1" applyFont="1" applyNumberFormat="1">
      <alignment horizontal="center" vertical="center"/>
    </xf>
    <xf borderId="10" fillId="0" fontId="7" numFmtId="0" xfId="0" applyBorder="1" applyFont="1"/>
    <xf borderId="11" fillId="0" fontId="7" numFmtId="0" xfId="0" applyBorder="1" applyFont="1"/>
    <xf borderId="12" fillId="0" fontId="35" numFmtId="0" xfId="0" applyAlignment="1" applyBorder="1" applyFont="1">
      <alignment horizontal="center" vertical="center"/>
    </xf>
    <xf borderId="11" fillId="0" fontId="5" numFmtId="167" xfId="0" applyAlignment="1" applyBorder="1" applyFont="1" applyNumberFormat="1">
      <alignment horizontal="center" vertical="center"/>
    </xf>
    <xf borderId="13" fillId="0" fontId="8" numFmtId="2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horizontal="center"/>
    </xf>
    <xf borderId="0" fillId="0" fontId="4" numFmtId="0" xfId="0" applyAlignment="1" applyFont="1">
      <alignment horizontal="center" vertical="center"/>
    </xf>
    <xf borderId="0" fillId="0" fontId="5" numFmtId="16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Feuil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76350" cy="4953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68:F17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eu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3" width="4.29"/>
    <col customWidth="1" min="4" max="4" width="13.86"/>
    <col customWidth="1" min="5" max="6" width="6.0"/>
    <col customWidth="1" min="7" max="7" width="12.57"/>
    <col customWidth="1" min="8" max="8" width="10.71"/>
    <col customWidth="1" min="9" max="9" width="22.14"/>
    <col customWidth="1" min="10" max="19" width="10.71"/>
  </cols>
  <sheetData>
    <row r="1" ht="39.0" customHeight="1">
      <c r="A1" s="1"/>
      <c r="B1" s="2"/>
      <c r="C1" s="3"/>
      <c r="D1" s="4" t="s">
        <v>0</v>
      </c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34.5" customHeight="1">
      <c r="A2" s="8" t="s">
        <v>1</v>
      </c>
      <c r="B2" s="9"/>
      <c r="C2" s="9"/>
      <c r="D2" s="9"/>
      <c r="E2" s="9"/>
      <c r="F2" s="9"/>
      <c r="G2" s="6"/>
      <c r="H2" s="7"/>
      <c r="I2" s="10"/>
      <c r="J2" s="7"/>
      <c r="K2" s="7"/>
      <c r="L2" s="7"/>
      <c r="M2" s="7"/>
      <c r="N2" s="7"/>
      <c r="O2" s="7"/>
      <c r="P2" s="7"/>
      <c r="Q2" s="7"/>
      <c r="R2" s="7"/>
      <c r="S2" s="7"/>
    </row>
    <row r="3" ht="16.5" customHeight="1">
      <c r="A3" s="11" t="s">
        <v>2</v>
      </c>
      <c r="B3" s="12" t="s">
        <v>3</v>
      </c>
      <c r="C3" s="13" t="s">
        <v>4</v>
      </c>
      <c r="D3" s="14" t="s">
        <v>5</v>
      </c>
      <c r="E3" s="15" t="s">
        <v>6</v>
      </c>
      <c r="F3" s="16" t="s">
        <v>7</v>
      </c>
      <c r="G3" s="16" t="s">
        <v>8</v>
      </c>
      <c r="H3" s="17" t="s">
        <v>9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ht="15.0" customHeight="1">
      <c r="A4" s="19" t="s">
        <v>10</v>
      </c>
      <c r="B4" s="20"/>
      <c r="C4" s="21"/>
      <c r="D4" s="22"/>
      <c r="E4" s="23"/>
      <c r="F4" s="24"/>
      <c r="G4" s="25"/>
      <c r="H4" s="26"/>
    </row>
    <row r="5" ht="15.0" customHeight="1">
      <c r="A5" s="27" t="s">
        <v>11</v>
      </c>
      <c r="B5" s="28"/>
      <c r="C5" s="29"/>
      <c r="D5" s="30"/>
      <c r="E5" s="31"/>
      <c r="F5" s="32"/>
      <c r="G5" s="33"/>
      <c r="H5" s="34"/>
    </row>
    <row r="6" ht="15.0" customHeight="1">
      <c r="A6" s="35" t="s">
        <v>12</v>
      </c>
      <c r="B6" s="36" t="s">
        <v>13</v>
      </c>
      <c r="C6" s="37">
        <v>24.0</v>
      </c>
      <c r="D6" s="30">
        <v>5.453003430018E12</v>
      </c>
      <c r="E6" s="38">
        <v>0.45</v>
      </c>
      <c r="F6" s="32">
        <v>10.8</v>
      </c>
      <c r="G6" s="33"/>
      <c r="H6" s="39">
        <f t="shared" ref="H6:H8" si="1">G6*F6</f>
        <v>0</v>
      </c>
    </row>
    <row r="7" ht="15.0" customHeight="1">
      <c r="A7" s="35" t="s">
        <v>14</v>
      </c>
      <c r="B7" s="36" t="s">
        <v>15</v>
      </c>
      <c r="C7" s="37">
        <v>6.0</v>
      </c>
      <c r="D7" s="30">
        <v>5.453003430025E12</v>
      </c>
      <c r="E7" s="38">
        <v>1.35</v>
      </c>
      <c r="F7" s="32">
        <v>8.1</v>
      </c>
      <c r="G7" s="33"/>
      <c r="H7" s="39">
        <f t="shared" si="1"/>
        <v>0</v>
      </c>
    </row>
    <row r="8" ht="15.0" customHeight="1">
      <c r="A8" s="35" t="s">
        <v>16</v>
      </c>
      <c r="B8" s="36" t="s">
        <v>15</v>
      </c>
      <c r="C8" s="37">
        <v>6.0</v>
      </c>
      <c r="D8" s="30">
        <v>5.453003430131E12</v>
      </c>
      <c r="E8" s="38">
        <v>1.35</v>
      </c>
      <c r="F8" s="32">
        <f>E8*C8</f>
        <v>8.1</v>
      </c>
      <c r="G8" s="33"/>
      <c r="H8" s="39">
        <f t="shared" si="1"/>
        <v>0</v>
      </c>
    </row>
    <row r="9" ht="15.0" customHeight="1">
      <c r="A9" s="27" t="s">
        <v>17</v>
      </c>
      <c r="B9" s="28"/>
      <c r="C9" s="29"/>
      <c r="D9" s="30"/>
      <c r="E9" s="31"/>
      <c r="F9" s="32"/>
      <c r="G9" s="33"/>
      <c r="H9" s="39"/>
    </row>
    <row r="10" ht="15.0" customHeight="1">
      <c r="A10" s="35" t="s">
        <v>18</v>
      </c>
      <c r="B10" s="36" t="s">
        <v>19</v>
      </c>
      <c r="C10" s="37">
        <v>24.0</v>
      </c>
      <c r="D10" s="30">
        <v>5.060947541528E12</v>
      </c>
      <c r="E10" s="38">
        <v>1.1</v>
      </c>
      <c r="F10" s="32">
        <v>26.4</v>
      </c>
      <c r="G10" s="33"/>
      <c r="H10" s="39">
        <f t="shared" ref="H10:H38" si="2">G10*F10</f>
        <v>0</v>
      </c>
    </row>
    <row r="11" ht="15.0" customHeight="1">
      <c r="A11" s="35" t="s">
        <v>20</v>
      </c>
      <c r="B11" s="36" t="s">
        <v>19</v>
      </c>
      <c r="C11" s="37">
        <v>24.0</v>
      </c>
      <c r="D11" s="30" t="s">
        <v>21</v>
      </c>
      <c r="E11" s="38">
        <v>1.1</v>
      </c>
      <c r="F11" s="32">
        <v>26.4</v>
      </c>
      <c r="G11" s="33"/>
      <c r="H11" s="39">
        <f t="shared" si="2"/>
        <v>0</v>
      </c>
    </row>
    <row r="12" ht="15.0" customHeight="1">
      <c r="A12" s="35" t="s">
        <v>22</v>
      </c>
      <c r="B12" s="36" t="s">
        <v>19</v>
      </c>
      <c r="C12" s="37">
        <v>24.0</v>
      </c>
      <c r="D12" s="30">
        <v>5.060639125739E12</v>
      </c>
      <c r="E12" s="38">
        <v>1.1</v>
      </c>
      <c r="F12" s="32">
        <v>26.4</v>
      </c>
      <c r="G12" s="33"/>
      <c r="H12" s="39">
        <f t="shared" si="2"/>
        <v>0</v>
      </c>
    </row>
    <row r="13" ht="15.0" customHeight="1">
      <c r="A13" s="35" t="s">
        <v>23</v>
      </c>
      <c r="B13" s="36" t="s">
        <v>19</v>
      </c>
      <c r="C13" s="37">
        <v>24.0</v>
      </c>
      <c r="D13" s="30">
        <v>5.060166696641E12</v>
      </c>
      <c r="E13" s="38">
        <v>1.2</v>
      </c>
      <c r="F13" s="32">
        <v>28.8</v>
      </c>
      <c r="G13" s="33"/>
      <c r="H13" s="39">
        <f t="shared" si="2"/>
        <v>0</v>
      </c>
    </row>
    <row r="14" ht="15.0" customHeight="1">
      <c r="A14" s="35" t="s">
        <v>24</v>
      </c>
      <c r="B14" s="36" t="s">
        <v>19</v>
      </c>
      <c r="C14" s="37">
        <v>24.0</v>
      </c>
      <c r="D14" s="30">
        <v>5.060896625577E12</v>
      </c>
      <c r="E14" s="38">
        <v>1.2</v>
      </c>
      <c r="F14" s="32">
        <v>28.8</v>
      </c>
      <c r="G14" s="33"/>
      <c r="H14" s="39">
        <f t="shared" si="2"/>
        <v>0</v>
      </c>
    </row>
    <row r="15" ht="15.0" customHeight="1">
      <c r="A15" s="35" t="s">
        <v>25</v>
      </c>
      <c r="B15" s="36" t="s">
        <v>19</v>
      </c>
      <c r="C15" s="37">
        <v>24.0</v>
      </c>
      <c r="D15" s="30">
        <v>5.060751215011E12</v>
      </c>
      <c r="E15" s="38">
        <v>1.2</v>
      </c>
      <c r="F15" s="32">
        <v>28.8</v>
      </c>
      <c r="G15" s="33"/>
      <c r="H15" s="39">
        <f t="shared" si="2"/>
        <v>0</v>
      </c>
    </row>
    <row r="16" ht="15.0" customHeight="1">
      <c r="A16" s="35" t="s">
        <v>26</v>
      </c>
      <c r="B16" s="36" t="s">
        <v>19</v>
      </c>
      <c r="C16" s="37">
        <v>24.0</v>
      </c>
      <c r="D16" s="30">
        <v>5.06089662428E12</v>
      </c>
      <c r="E16" s="38">
        <v>1.2</v>
      </c>
      <c r="F16" s="32">
        <v>28.8</v>
      </c>
      <c r="G16" s="33"/>
      <c r="H16" s="39">
        <f t="shared" si="2"/>
        <v>0</v>
      </c>
    </row>
    <row r="17" ht="15.0" customHeight="1">
      <c r="A17" s="35" t="s">
        <v>27</v>
      </c>
      <c r="B17" s="36" t="s">
        <v>19</v>
      </c>
      <c r="C17" s="37">
        <v>24.0</v>
      </c>
      <c r="D17" s="30">
        <v>5.060639127528E12</v>
      </c>
      <c r="E17" s="38">
        <v>1.2</v>
      </c>
      <c r="F17" s="32">
        <v>28.8</v>
      </c>
      <c r="G17" s="33"/>
      <c r="H17" s="39">
        <f t="shared" si="2"/>
        <v>0</v>
      </c>
    </row>
    <row r="18" ht="15.0" customHeight="1">
      <c r="A18" s="35" t="s">
        <v>28</v>
      </c>
      <c r="B18" s="36" t="s">
        <v>19</v>
      </c>
      <c r="C18" s="37">
        <v>24.0</v>
      </c>
      <c r="D18" s="30">
        <v>5.061013940931E12</v>
      </c>
      <c r="E18" s="38">
        <v>1.2</v>
      </c>
      <c r="F18" s="32">
        <v>28.8</v>
      </c>
      <c r="G18" s="33"/>
      <c r="H18" s="39">
        <f t="shared" si="2"/>
        <v>0</v>
      </c>
    </row>
    <row r="19" ht="15.0" customHeight="1">
      <c r="A19" s="35" t="s">
        <v>29</v>
      </c>
      <c r="B19" s="36" t="s">
        <v>19</v>
      </c>
      <c r="C19" s="37">
        <v>24.0</v>
      </c>
      <c r="D19" s="30">
        <v>5.060947541306E12</v>
      </c>
      <c r="E19" s="38">
        <v>1.2</v>
      </c>
      <c r="F19" s="32">
        <v>28.8</v>
      </c>
      <c r="G19" s="33"/>
      <c r="H19" s="39">
        <f t="shared" si="2"/>
        <v>0</v>
      </c>
    </row>
    <row r="20" ht="15.0" customHeight="1">
      <c r="A20" s="35" t="s">
        <v>30</v>
      </c>
      <c r="B20" s="36" t="s">
        <v>19</v>
      </c>
      <c r="C20" s="37">
        <v>24.0</v>
      </c>
      <c r="D20" s="30">
        <v>5.060335635808E12</v>
      </c>
      <c r="E20" s="38">
        <v>1.2</v>
      </c>
      <c r="F20" s="32">
        <v>28.8</v>
      </c>
      <c r="G20" s="33"/>
      <c r="H20" s="39">
        <f t="shared" si="2"/>
        <v>0</v>
      </c>
    </row>
    <row r="21" ht="15.0" customHeight="1">
      <c r="A21" s="35" t="s">
        <v>31</v>
      </c>
      <c r="B21" s="36" t="s">
        <v>19</v>
      </c>
      <c r="C21" s="37">
        <v>24.0</v>
      </c>
      <c r="D21" s="30">
        <v>5.060947549715E12</v>
      </c>
      <c r="E21" s="38">
        <v>1.2</v>
      </c>
      <c r="F21" s="32">
        <v>28.8</v>
      </c>
      <c r="G21" s="33"/>
      <c r="H21" s="39">
        <f t="shared" si="2"/>
        <v>0</v>
      </c>
    </row>
    <row r="22" ht="15.0" customHeight="1">
      <c r="A22" s="35" t="s">
        <v>32</v>
      </c>
      <c r="B22" s="36" t="s">
        <v>19</v>
      </c>
      <c r="C22" s="37">
        <v>24.0</v>
      </c>
      <c r="D22" s="30">
        <v>5.060335632302E12</v>
      </c>
      <c r="E22" s="38">
        <v>1.3</v>
      </c>
      <c r="F22" s="32">
        <v>31.2</v>
      </c>
      <c r="G22" s="33"/>
      <c r="H22" s="39">
        <f t="shared" si="2"/>
        <v>0</v>
      </c>
    </row>
    <row r="23" ht="15.0" customHeight="1">
      <c r="A23" s="35" t="s">
        <v>33</v>
      </c>
      <c r="B23" s="36" t="s">
        <v>19</v>
      </c>
      <c r="C23" s="37">
        <v>24.0</v>
      </c>
      <c r="D23" s="30">
        <v>5.060947542952E12</v>
      </c>
      <c r="E23" s="38">
        <v>1.3</v>
      </c>
      <c r="F23" s="32">
        <v>31.2</v>
      </c>
      <c r="G23" s="33"/>
      <c r="H23" s="39">
        <f t="shared" si="2"/>
        <v>0</v>
      </c>
    </row>
    <row r="24" ht="15.0" customHeight="1">
      <c r="A24" s="35" t="s">
        <v>34</v>
      </c>
      <c r="B24" s="36" t="s">
        <v>19</v>
      </c>
      <c r="C24" s="37">
        <v>24.0</v>
      </c>
      <c r="D24" s="30">
        <v>5.061013945516E12</v>
      </c>
      <c r="E24" s="38">
        <v>1.3</v>
      </c>
      <c r="F24" s="32">
        <v>31.2</v>
      </c>
      <c r="G24" s="33"/>
      <c r="H24" s="39">
        <f t="shared" si="2"/>
        <v>0</v>
      </c>
    </row>
    <row r="25" ht="15.0" customHeight="1">
      <c r="A25" s="35" t="s">
        <v>35</v>
      </c>
      <c r="B25" s="36" t="s">
        <v>19</v>
      </c>
      <c r="C25" s="37">
        <v>24.0</v>
      </c>
      <c r="D25" s="30">
        <v>5.060947546844E12</v>
      </c>
      <c r="E25" s="38">
        <v>1.3</v>
      </c>
      <c r="F25" s="32">
        <v>31.2</v>
      </c>
      <c r="G25" s="33"/>
      <c r="H25" s="39">
        <f t="shared" si="2"/>
        <v>0</v>
      </c>
    </row>
    <row r="26" ht="15.0" customHeight="1">
      <c r="A26" s="35" t="s">
        <v>36</v>
      </c>
      <c r="B26" s="36" t="s">
        <v>19</v>
      </c>
      <c r="C26" s="37">
        <v>24.0</v>
      </c>
      <c r="D26" s="30">
        <v>5.060896622071E12</v>
      </c>
      <c r="E26" s="38">
        <v>1.3</v>
      </c>
      <c r="F26" s="32">
        <v>31.2</v>
      </c>
      <c r="G26" s="33"/>
      <c r="H26" s="39">
        <f t="shared" si="2"/>
        <v>0</v>
      </c>
    </row>
    <row r="27" ht="15.0" customHeight="1">
      <c r="A27" s="35" t="s">
        <v>37</v>
      </c>
      <c r="B27" s="36" t="s">
        <v>19</v>
      </c>
      <c r="C27" s="37">
        <v>24.0</v>
      </c>
      <c r="D27" s="30">
        <v>5.060517889852E12</v>
      </c>
      <c r="E27" s="38">
        <v>1.3</v>
      </c>
      <c r="F27" s="32">
        <v>31.2</v>
      </c>
      <c r="G27" s="33"/>
      <c r="H27" s="39">
        <f t="shared" si="2"/>
        <v>0</v>
      </c>
    </row>
    <row r="28" ht="15.0" customHeight="1">
      <c r="A28" s="35" t="s">
        <v>38</v>
      </c>
      <c r="B28" s="36" t="s">
        <v>19</v>
      </c>
      <c r="C28" s="37">
        <v>24.0</v>
      </c>
      <c r="D28" s="30">
        <v>5.060337507363E12</v>
      </c>
      <c r="E28" s="38">
        <v>1.3</v>
      </c>
      <c r="F28" s="32">
        <v>31.2</v>
      </c>
      <c r="G28" s="33"/>
      <c r="H28" s="39">
        <f t="shared" si="2"/>
        <v>0</v>
      </c>
    </row>
    <row r="29" ht="15.0" customHeight="1">
      <c r="A29" s="35" t="s">
        <v>39</v>
      </c>
      <c r="B29" s="36" t="s">
        <v>19</v>
      </c>
      <c r="C29" s="37">
        <v>24.0</v>
      </c>
      <c r="D29" s="30">
        <v>5.060751215905E12</v>
      </c>
      <c r="E29" s="38">
        <v>1.3</v>
      </c>
      <c r="F29" s="32">
        <v>31.2</v>
      </c>
      <c r="G29" s="33"/>
      <c r="H29" s="39">
        <f t="shared" si="2"/>
        <v>0</v>
      </c>
    </row>
    <row r="30" ht="15.0" customHeight="1">
      <c r="A30" s="35" t="s">
        <v>40</v>
      </c>
      <c r="B30" s="36" t="s">
        <v>19</v>
      </c>
      <c r="C30" s="37">
        <v>24.0</v>
      </c>
      <c r="D30" s="30">
        <v>5.060896622149E12</v>
      </c>
      <c r="E30" s="38">
        <v>1.3</v>
      </c>
      <c r="F30" s="32">
        <v>31.2</v>
      </c>
      <c r="G30" s="33"/>
      <c r="H30" s="39">
        <f t="shared" si="2"/>
        <v>0</v>
      </c>
      <c r="M30" s="40"/>
    </row>
    <row r="31" ht="15.0" customHeight="1">
      <c r="A31" s="35" t="s">
        <v>41</v>
      </c>
      <c r="B31" s="36" t="s">
        <v>19</v>
      </c>
      <c r="C31" s="37">
        <v>24.0</v>
      </c>
      <c r="D31" s="30">
        <v>5.060639126125E12</v>
      </c>
      <c r="E31" s="38">
        <v>1.3</v>
      </c>
      <c r="F31" s="32">
        <v>31.2</v>
      </c>
      <c r="G31" s="33"/>
      <c r="H31" s="39">
        <f t="shared" si="2"/>
        <v>0</v>
      </c>
    </row>
    <row r="32" ht="15.0" customHeight="1">
      <c r="A32" s="35" t="s">
        <v>42</v>
      </c>
      <c r="B32" s="36" t="s">
        <v>19</v>
      </c>
      <c r="C32" s="37">
        <v>24.0</v>
      </c>
      <c r="D32" s="30">
        <v>5.060517883539E12</v>
      </c>
      <c r="E32" s="38">
        <v>1.3</v>
      </c>
      <c r="F32" s="32">
        <v>31.2</v>
      </c>
      <c r="G32" s="33"/>
      <c r="H32" s="39">
        <f t="shared" si="2"/>
        <v>0</v>
      </c>
    </row>
    <row r="33" ht="15.0" customHeight="1">
      <c r="A33" s="35" t="s">
        <v>43</v>
      </c>
      <c r="B33" s="36" t="s">
        <v>19</v>
      </c>
      <c r="C33" s="37">
        <v>24.0</v>
      </c>
      <c r="D33" s="30">
        <v>5.060335635365E12</v>
      </c>
      <c r="E33" s="38">
        <v>1.3</v>
      </c>
      <c r="F33" s="32">
        <v>31.2</v>
      </c>
      <c r="G33" s="41"/>
      <c r="H33" s="42">
        <f t="shared" si="2"/>
        <v>0</v>
      </c>
      <c r="I33" s="40"/>
    </row>
    <row r="34" ht="15.0" customHeight="1">
      <c r="A34" s="43" t="s">
        <v>44</v>
      </c>
      <c r="B34" s="36" t="s">
        <v>19</v>
      </c>
      <c r="C34" s="37">
        <v>24.0</v>
      </c>
      <c r="D34" s="30">
        <v>5.060896621326E12</v>
      </c>
      <c r="E34" s="38">
        <v>1.3</v>
      </c>
      <c r="F34" s="32">
        <v>31.2</v>
      </c>
      <c r="G34" s="41"/>
      <c r="H34" s="42">
        <f t="shared" si="2"/>
        <v>0</v>
      </c>
      <c r="I34" s="40"/>
    </row>
    <row r="35" ht="15.0" customHeight="1">
      <c r="A35" s="43" t="s">
        <v>45</v>
      </c>
      <c r="B35" s="36" t="s">
        <v>19</v>
      </c>
      <c r="C35" s="37">
        <v>24.0</v>
      </c>
      <c r="D35" s="30">
        <v>5.056784908662E12</v>
      </c>
      <c r="E35" s="38">
        <v>1.3</v>
      </c>
      <c r="F35" s="32">
        <v>31.2</v>
      </c>
      <c r="G35" s="41"/>
      <c r="H35" s="42">
        <f t="shared" si="2"/>
        <v>0</v>
      </c>
      <c r="I35" s="40"/>
    </row>
    <row r="36" ht="15.0" customHeight="1">
      <c r="A36" s="35" t="s">
        <v>46</v>
      </c>
      <c r="B36" s="36" t="s">
        <v>19</v>
      </c>
      <c r="C36" s="37">
        <v>24.0</v>
      </c>
      <c r="D36" s="30">
        <v>5.056784902943E12</v>
      </c>
      <c r="E36" s="38">
        <v>1.35</v>
      </c>
      <c r="F36" s="32">
        <v>32.4</v>
      </c>
      <c r="G36" s="33"/>
      <c r="H36" s="39">
        <f t="shared" si="2"/>
        <v>0</v>
      </c>
    </row>
    <row r="37" ht="15.0" customHeight="1">
      <c r="A37" s="44" t="s">
        <v>47</v>
      </c>
      <c r="B37" s="36" t="s">
        <v>19</v>
      </c>
      <c r="C37" s="37">
        <v>24.0</v>
      </c>
      <c r="D37" s="30">
        <v>5.056784907351E12</v>
      </c>
      <c r="E37" s="38">
        <v>1.35</v>
      </c>
      <c r="F37" s="32">
        <v>32.4</v>
      </c>
      <c r="G37" s="33"/>
      <c r="H37" s="39">
        <f t="shared" si="2"/>
        <v>0</v>
      </c>
    </row>
    <row r="38" ht="15.0" customHeight="1">
      <c r="A38" s="44" t="s">
        <v>48</v>
      </c>
      <c r="B38" s="36" t="s">
        <v>19</v>
      </c>
      <c r="C38" s="37">
        <v>24.0</v>
      </c>
      <c r="D38" s="30">
        <v>5.056784905623E12</v>
      </c>
      <c r="E38" s="38">
        <v>1.35</v>
      </c>
      <c r="F38" s="32">
        <v>32.4</v>
      </c>
      <c r="G38" s="33"/>
      <c r="H38" s="39">
        <f t="shared" si="2"/>
        <v>0</v>
      </c>
    </row>
    <row r="39" ht="15.0" customHeight="1">
      <c r="A39" s="27" t="s">
        <v>49</v>
      </c>
      <c r="B39" s="45"/>
      <c r="C39" s="46"/>
      <c r="D39" s="47"/>
      <c r="E39" s="31"/>
      <c r="F39" s="32"/>
      <c r="G39" s="33"/>
      <c r="H39" s="39"/>
    </row>
    <row r="40" ht="15.0" customHeight="1">
      <c r="A40" s="48" t="s">
        <v>50</v>
      </c>
      <c r="B40" s="45" t="s">
        <v>19</v>
      </c>
      <c r="C40" s="46">
        <v>24.0</v>
      </c>
      <c r="D40" s="47" t="s">
        <v>51</v>
      </c>
      <c r="E40" s="38">
        <v>1.35</v>
      </c>
      <c r="F40" s="32">
        <v>32.4</v>
      </c>
      <c r="G40" s="33"/>
      <c r="H40" s="39">
        <f t="shared" ref="H40:H46" si="3">G40*F40</f>
        <v>0</v>
      </c>
    </row>
    <row r="41" ht="15.0" customHeight="1">
      <c r="A41" s="48" t="s">
        <v>52</v>
      </c>
      <c r="B41" s="45" t="s">
        <v>19</v>
      </c>
      <c r="C41" s="46">
        <v>24.0</v>
      </c>
      <c r="D41" s="30">
        <v>5.061013945837E12</v>
      </c>
      <c r="E41" s="38">
        <v>1.35</v>
      </c>
      <c r="F41" s="32">
        <v>32.4</v>
      </c>
      <c r="G41" s="33"/>
      <c r="H41" s="39">
        <f t="shared" si="3"/>
        <v>0</v>
      </c>
    </row>
    <row r="42" ht="15.0" customHeight="1">
      <c r="A42" s="48" t="s">
        <v>53</v>
      </c>
      <c r="B42" s="45" t="s">
        <v>19</v>
      </c>
      <c r="C42" s="46">
        <v>24.0</v>
      </c>
      <c r="D42" s="30">
        <v>5.061013946032E12</v>
      </c>
      <c r="E42" s="38">
        <v>1.35</v>
      </c>
      <c r="F42" s="32">
        <v>32.4</v>
      </c>
      <c r="G42" s="33"/>
      <c r="H42" s="39">
        <f t="shared" si="3"/>
        <v>0</v>
      </c>
    </row>
    <row r="43" ht="15.0" customHeight="1">
      <c r="A43" s="49" t="s">
        <v>54</v>
      </c>
      <c r="B43" s="50" t="s">
        <v>19</v>
      </c>
      <c r="C43" s="50">
        <v>24.0</v>
      </c>
      <c r="D43" s="51">
        <v>5.060337501378E12</v>
      </c>
      <c r="E43" s="52">
        <v>1.45</v>
      </c>
      <c r="F43" s="53">
        <f t="shared" ref="F43:F45" si="4">E43*C43</f>
        <v>34.8</v>
      </c>
      <c r="G43" s="33"/>
      <c r="H43" s="39">
        <f t="shared" si="3"/>
        <v>0</v>
      </c>
    </row>
    <row r="44" ht="15.0" customHeight="1">
      <c r="A44" s="48" t="s">
        <v>55</v>
      </c>
      <c r="B44" s="54" t="s">
        <v>56</v>
      </c>
      <c r="C44" s="46">
        <v>24.0</v>
      </c>
      <c r="D44" s="47" t="s">
        <v>57</v>
      </c>
      <c r="E44" s="55">
        <v>2.75</v>
      </c>
      <c r="F44" s="53">
        <f t="shared" si="4"/>
        <v>66</v>
      </c>
      <c r="G44" s="33"/>
      <c r="H44" s="39">
        <f t="shared" si="3"/>
        <v>0</v>
      </c>
    </row>
    <row r="45" ht="15.0" customHeight="1">
      <c r="A45" s="48" t="s">
        <v>58</v>
      </c>
      <c r="B45" s="54" t="s">
        <v>56</v>
      </c>
      <c r="C45" s="46">
        <v>24.0</v>
      </c>
      <c r="D45" s="47" t="s">
        <v>59</v>
      </c>
      <c r="E45" s="55">
        <v>2.95</v>
      </c>
      <c r="F45" s="53">
        <f t="shared" si="4"/>
        <v>70.8</v>
      </c>
      <c r="G45" s="33"/>
      <c r="H45" s="39">
        <f t="shared" si="3"/>
        <v>0</v>
      </c>
    </row>
    <row r="46" ht="15.0" customHeight="1">
      <c r="A46" s="48" t="s">
        <v>60</v>
      </c>
      <c r="B46" s="54" t="s">
        <v>56</v>
      </c>
      <c r="C46" s="56">
        <v>24.0</v>
      </c>
      <c r="D46" s="57" t="s">
        <v>61</v>
      </c>
      <c r="E46" s="38">
        <v>2.95</v>
      </c>
      <c r="F46" s="32">
        <v>70.8</v>
      </c>
      <c r="G46" s="33"/>
      <c r="H46" s="39">
        <f t="shared" si="3"/>
        <v>0</v>
      </c>
    </row>
    <row r="47" ht="15.0" customHeight="1">
      <c r="A47" s="27" t="s">
        <v>62</v>
      </c>
      <c r="B47" s="28"/>
      <c r="C47" s="29"/>
      <c r="D47" s="30"/>
      <c r="E47" s="31"/>
      <c r="F47" s="32"/>
      <c r="G47" s="33"/>
      <c r="H47" s="39"/>
    </row>
    <row r="48" ht="15.0" customHeight="1">
      <c r="A48" s="27" t="s">
        <v>63</v>
      </c>
      <c r="B48" s="28"/>
      <c r="C48" s="29"/>
      <c r="D48" s="30"/>
      <c r="E48" s="31"/>
      <c r="F48" s="32"/>
      <c r="G48" s="33"/>
      <c r="H48" s="39"/>
    </row>
    <row r="49" ht="15.0" customHeight="1">
      <c r="A49" s="35" t="s">
        <v>64</v>
      </c>
      <c r="B49" s="36" t="s">
        <v>13</v>
      </c>
      <c r="C49" s="37">
        <v>24.0</v>
      </c>
      <c r="D49" s="30">
        <v>9.002490205973E12</v>
      </c>
      <c r="E49" s="38">
        <v>1.15</v>
      </c>
      <c r="F49" s="32">
        <v>27.6</v>
      </c>
      <c r="G49" s="33"/>
      <c r="H49" s="39">
        <f t="shared" ref="H49:H66" si="5">G49*F49</f>
        <v>0</v>
      </c>
    </row>
    <row r="50" ht="15.0" customHeight="1">
      <c r="A50" s="35" t="s">
        <v>65</v>
      </c>
      <c r="B50" s="36" t="s">
        <v>13</v>
      </c>
      <c r="C50" s="37">
        <v>24.0</v>
      </c>
      <c r="D50" s="30" t="s">
        <v>66</v>
      </c>
      <c r="E50" s="38">
        <v>1.15</v>
      </c>
      <c r="F50" s="32">
        <v>27.6</v>
      </c>
      <c r="G50" s="33"/>
      <c r="H50" s="39">
        <f t="shared" si="5"/>
        <v>0</v>
      </c>
    </row>
    <row r="51" ht="15.0" customHeight="1">
      <c r="A51" s="35" t="s">
        <v>67</v>
      </c>
      <c r="B51" s="36" t="s">
        <v>68</v>
      </c>
      <c r="C51" s="37">
        <v>24.0</v>
      </c>
      <c r="D51" s="30">
        <v>9.002490210717E12</v>
      </c>
      <c r="E51" s="38">
        <v>1.65</v>
      </c>
      <c r="F51" s="32">
        <v>39.6</v>
      </c>
      <c r="G51" s="33"/>
      <c r="H51" s="39">
        <f t="shared" si="5"/>
        <v>0</v>
      </c>
    </row>
    <row r="52" ht="15.0" customHeight="1">
      <c r="A52" s="35" t="s">
        <v>69</v>
      </c>
      <c r="B52" s="36" t="s">
        <v>68</v>
      </c>
      <c r="C52" s="37">
        <v>24.0</v>
      </c>
      <c r="D52" s="30" t="s">
        <v>70</v>
      </c>
      <c r="E52" s="38">
        <v>1.65</v>
      </c>
      <c r="F52" s="32">
        <v>39.6</v>
      </c>
      <c r="G52" s="33"/>
      <c r="H52" s="39">
        <f t="shared" si="5"/>
        <v>0</v>
      </c>
    </row>
    <row r="53" ht="15.0" customHeight="1">
      <c r="A53" s="35" t="s">
        <v>71</v>
      </c>
      <c r="B53" s="36" t="s">
        <v>56</v>
      </c>
      <c r="C53" s="37">
        <v>24.0</v>
      </c>
      <c r="D53" s="30">
        <v>9.002490214951E12</v>
      </c>
      <c r="E53" s="38">
        <v>2.15</v>
      </c>
      <c r="F53" s="32">
        <v>51.6</v>
      </c>
      <c r="G53" s="33"/>
      <c r="H53" s="39">
        <f t="shared" si="5"/>
        <v>0</v>
      </c>
    </row>
    <row r="54" ht="15.0" customHeight="1">
      <c r="A54" s="35" t="s">
        <v>72</v>
      </c>
      <c r="B54" s="36" t="s">
        <v>13</v>
      </c>
      <c r="C54" s="37">
        <v>24.0</v>
      </c>
      <c r="D54" s="30">
        <v>9.002490255916E12</v>
      </c>
      <c r="E54" s="38">
        <v>1.22</v>
      </c>
      <c r="F54" s="32">
        <v>29.28</v>
      </c>
      <c r="G54" s="33"/>
      <c r="H54" s="39">
        <f t="shared" si="5"/>
        <v>0</v>
      </c>
    </row>
    <row r="55" ht="15.0" customHeight="1">
      <c r="A55" s="35" t="s">
        <v>73</v>
      </c>
      <c r="B55" s="36" t="s">
        <v>13</v>
      </c>
      <c r="C55" s="37">
        <v>24.0</v>
      </c>
      <c r="D55" s="30">
        <v>9.002490246624E12</v>
      </c>
      <c r="E55" s="38">
        <v>1.22</v>
      </c>
      <c r="F55" s="32">
        <v>29.28</v>
      </c>
      <c r="G55" s="33"/>
      <c r="H55" s="39">
        <f t="shared" si="5"/>
        <v>0</v>
      </c>
    </row>
    <row r="56" ht="15.0" customHeight="1">
      <c r="A56" s="35" t="s">
        <v>74</v>
      </c>
      <c r="B56" s="36" t="s">
        <v>13</v>
      </c>
      <c r="C56" s="37">
        <v>24.0</v>
      </c>
      <c r="D56" s="30">
        <v>9.002490255176E12</v>
      </c>
      <c r="E56" s="38">
        <v>1.22</v>
      </c>
      <c r="F56" s="32">
        <v>29.28</v>
      </c>
      <c r="G56" s="33"/>
      <c r="H56" s="39">
        <f t="shared" si="5"/>
        <v>0</v>
      </c>
    </row>
    <row r="57" ht="15.0" customHeight="1">
      <c r="A57" s="35" t="s">
        <v>75</v>
      </c>
      <c r="B57" s="36" t="s">
        <v>13</v>
      </c>
      <c r="C57" s="37">
        <v>24.0</v>
      </c>
      <c r="D57" s="30">
        <v>9.002490263195E12</v>
      </c>
      <c r="E57" s="38">
        <v>1.22</v>
      </c>
      <c r="F57" s="32">
        <v>29.28</v>
      </c>
      <c r="G57" s="33"/>
      <c r="H57" s="39">
        <f t="shared" si="5"/>
        <v>0</v>
      </c>
    </row>
    <row r="58" ht="15.0" customHeight="1">
      <c r="A58" s="35" t="s">
        <v>76</v>
      </c>
      <c r="B58" s="36" t="s">
        <v>13</v>
      </c>
      <c r="C58" s="37">
        <v>24.0</v>
      </c>
      <c r="D58" s="30">
        <v>9.002490219567E12</v>
      </c>
      <c r="E58" s="38">
        <v>1.22</v>
      </c>
      <c r="F58" s="32">
        <v>29.28</v>
      </c>
      <c r="G58" s="33"/>
      <c r="H58" s="39">
        <f t="shared" si="5"/>
        <v>0</v>
      </c>
    </row>
    <row r="59" ht="15.0" customHeight="1">
      <c r="A59" s="35" t="s">
        <v>77</v>
      </c>
      <c r="B59" s="36" t="s">
        <v>13</v>
      </c>
      <c r="C59" s="37">
        <v>24.0</v>
      </c>
      <c r="D59" s="30">
        <v>9.002490246594E12</v>
      </c>
      <c r="E59" s="38">
        <v>1.22</v>
      </c>
      <c r="F59" s="32">
        <v>29.28</v>
      </c>
      <c r="G59" s="33"/>
      <c r="H59" s="39">
        <f t="shared" si="5"/>
        <v>0</v>
      </c>
    </row>
    <row r="60" ht="15.0" customHeight="1">
      <c r="A60" s="35" t="s">
        <v>78</v>
      </c>
      <c r="B60" s="36" t="s">
        <v>13</v>
      </c>
      <c r="C60" s="37">
        <v>24.0</v>
      </c>
      <c r="D60" s="30">
        <v>9.002490278229E12</v>
      </c>
      <c r="E60" s="38">
        <v>1.25</v>
      </c>
      <c r="F60" s="32">
        <v>30.0</v>
      </c>
      <c r="G60" s="33"/>
      <c r="H60" s="39">
        <f t="shared" si="5"/>
        <v>0</v>
      </c>
    </row>
    <row r="61" ht="15.0" customHeight="1">
      <c r="A61" s="35" t="s">
        <v>79</v>
      </c>
      <c r="B61" s="36" t="s">
        <v>13</v>
      </c>
      <c r="C61" s="37">
        <v>24.0</v>
      </c>
      <c r="D61" s="30">
        <v>9.00249027825E12</v>
      </c>
      <c r="E61" s="38">
        <v>1.3</v>
      </c>
      <c r="F61" s="32">
        <v>31.2</v>
      </c>
      <c r="G61" s="33"/>
      <c r="H61" s="39">
        <f t="shared" si="5"/>
        <v>0</v>
      </c>
    </row>
    <row r="62" ht="15.0" customHeight="1">
      <c r="A62" s="43" t="s">
        <v>80</v>
      </c>
      <c r="B62" s="36" t="s">
        <v>13</v>
      </c>
      <c r="C62" s="37">
        <v>24.0</v>
      </c>
      <c r="D62" s="30">
        <v>9.002490278281E12</v>
      </c>
      <c r="E62" s="38">
        <v>1.3</v>
      </c>
      <c r="F62" s="32">
        <v>31.2</v>
      </c>
      <c r="G62" s="33"/>
      <c r="H62" s="39">
        <f t="shared" si="5"/>
        <v>0</v>
      </c>
    </row>
    <row r="63" ht="15.0" customHeight="1">
      <c r="A63" s="48" t="s">
        <v>81</v>
      </c>
      <c r="B63" s="54" t="s">
        <v>13</v>
      </c>
      <c r="C63" s="56">
        <v>24.0</v>
      </c>
      <c r="D63" s="58" t="s">
        <v>82</v>
      </c>
      <c r="E63" s="55">
        <v>1.3</v>
      </c>
      <c r="F63" s="54">
        <v>31.2</v>
      </c>
      <c r="G63" s="54"/>
      <c r="H63" s="39">
        <f t="shared" si="5"/>
        <v>0</v>
      </c>
    </row>
    <row r="64" ht="15.0" customHeight="1">
      <c r="A64" s="35" t="s">
        <v>83</v>
      </c>
      <c r="B64" s="36" t="s">
        <v>13</v>
      </c>
      <c r="C64" s="37">
        <v>24.0</v>
      </c>
      <c r="D64" s="30">
        <v>9.002490208592E12</v>
      </c>
      <c r="E64" s="38">
        <v>1.22</v>
      </c>
      <c r="F64" s="32">
        <v>29.28</v>
      </c>
      <c r="G64" s="33"/>
      <c r="H64" s="39">
        <f t="shared" si="5"/>
        <v>0</v>
      </c>
    </row>
    <row r="65" ht="15.0" customHeight="1">
      <c r="A65" s="35" t="s">
        <v>84</v>
      </c>
      <c r="B65" s="36" t="s">
        <v>13</v>
      </c>
      <c r="C65" s="37">
        <v>24.0</v>
      </c>
      <c r="D65" s="30" t="s">
        <v>85</v>
      </c>
      <c r="E65" s="38">
        <v>1.22</v>
      </c>
      <c r="F65" s="32">
        <v>29.28</v>
      </c>
      <c r="G65" s="33"/>
      <c r="H65" s="39">
        <f t="shared" si="5"/>
        <v>0</v>
      </c>
    </row>
    <row r="66" ht="15.0" customHeight="1">
      <c r="A66" s="35" t="s">
        <v>86</v>
      </c>
      <c r="B66" s="36" t="s">
        <v>13</v>
      </c>
      <c r="C66" s="37">
        <v>24.0</v>
      </c>
      <c r="D66" s="30">
        <v>9.002490278151E12</v>
      </c>
      <c r="E66" s="38">
        <v>1.22</v>
      </c>
      <c r="F66" s="32">
        <v>29.28</v>
      </c>
      <c r="G66" s="33"/>
      <c r="H66" s="39">
        <f t="shared" si="5"/>
        <v>0</v>
      </c>
    </row>
    <row r="67" ht="15.0" customHeight="1">
      <c r="A67" s="27" t="s">
        <v>87</v>
      </c>
      <c r="B67" s="28"/>
      <c r="C67" s="29"/>
      <c r="D67" s="30"/>
      <c r="E67" s="31"/>
      <c r="F67" s="32"/>
      <c r="G67" s="33"/>
      <c r="H67" s="39"/>
    </row>
    <row r="68" ht="15.0" customHeight="1">
      <c r="A68" s="35" t="s">
        <v>88</v>
      </c>
      <c r="B68" s="36" t="s">
        <v>13</v>
      </c>
      <c r="C68" s="37">
        <v>24.0</v>
      </c>
      <c r="D68" s="30">
        <v>9.002490228071E12</v>
      </c>
      <c r="E68" s="38">
        <v>1.45</v>
      </c>
      <c r="F68" s="32">
        <v>34.8</v>
      </c>
      <c r="G68" s="33"/>
      <c r="H68" s="39">
        <f t="shared" ref="H68:H74" si="6">G68*F68</f>
        <v>0</v>
      </c>
    </row>
    <row r="69" ht="15.0" customHeight="1">
      <c r="A69" s="35" t="s">
        <v>89</v>
      </c>
      <c r="B69" s="36" t="s">
        <v>13</v>
      </c>
      <c r="C69" s="37">
        <v>24.0</v>
      </c>
      <c r="D69" s="30" t="s">
        <v>90</v>
      </c>
      <c r="E69" s="38">
        <v>1.5</v>
      </c>
      <c r="F69" s="32">
        <v>36.0</v>
      </c>
      <c r="G69" s="33"/>
      <c r="H69" s="39">
        <f t="shared" si="6"/>
        <v>0</v>
      </c>
    </row>
    <row r="70" ht="15.0" customHeight="1">
      <c r="A70" s="44" t="s">
        <v>91</v>
      </c>
      <c r="B70" s="36" t="s">
        <v>13</v>
      </c>
      <c r="C70" s="37">
        <v>24.0</v>
      </c>
      <c r="D70" s="30" t="s">
        <v>92</v>
      </c>
      <c r="E70" s="38">
        <v>1.5</v>
      </c>
      <c r="F70" s="32">
        <f>E70*C70</f>
        <v>36</v>
      </c>
      <c r="G70" s="33"/>
      <c r="H70" s="39">
        <f t="shared" si="6"/>
        <v>0</v>
      </c>
    </row>
    <row r="71" ht="15.0" customHeight="1">
      <c r="A71" s="35" t="s">
        <v>93</v>
      </c>
      <c r="B71" s="36" t="s">
        <v>13</v>
      </c>
      <c r="C71" s="37">
        <v>24.0</v>
      </c>
      <c r="D71" s="30" t="s">
        <v>94</v>
      </c>
      <c r="E71" s="38">
        <v>1.5</v>
      </c>
      <c r="F71" s="32">
        <v>36.0</v>
      </c>
      <c r="G71" s="33"/>
      <c r="H71" s="39">
        <f t="shared" si="6"/>
        <v>0</v>
      </c>
    </row>
    <row r="72" ht="15.0" customHeight="1">
      <c r="A72" s="48" t="s">
        <v>95</v>
      </c>
      <c r="B72" s="54" t="s">
        <v>13</v>
      </c>
      <c r="C72" s="56">
        <v>24.0</v>
      </c>
      <c r="D72" s="47" t="s">
        <v>96</v>
      </c>
      <c r="E72" s="55">
        <v>1.45</v>
      </c>
      <c r="F72" s="59">
        <v>34.8</v>
      </c>
      <c r="G72" s="33"/>
      <c r="H72" s="39">
        <f t="shared" si="6"/>
        <v>0</v>
      </c>
    </row>
    <row r="73" ht="15.0" customHeight="1">
      <c r="A73" s="48" t="s">
        <v>97</v>
      </c>
      <c r="B73" s="54" t="s">
        <v>13</v>
      </c>
      <c r="C73" s="56">
        <v>24.0</v>
      </c>
      <c r="D73" s="58" t="s">
        <v>98</v>
      </c>
      <c r="E73" s="55">
        <v>1.55</v>
      </c>
      <c r="F73" s="59">
        <v>37.2</v>
      </c>
      <c r="G73" s="33"/>
      <c r="H73" s="39">
        <f t="shared" si="6"/>
        <v>0</v>
      </c>
    </row>
    <row r="74" ht="15.0" customHeight="1">
      <c r="A74" s="48" t="s">
        <v>99</v>
      </c>
      <c r="B74" s="54" t="s">
        <v>13</v>
      </c>
      <c r="C74" s="56">
        <v>24.0</v>
      </c>
      <c r="D74" s="60" t="s">
        <v>100</v>
      </c>
      <c r="E74" s="55">
        <v>1.75</v>
      </c>
      <c r="F74" s="59">
        <v>42.0</v>
      </c>
      <c r="G74" s="33"/>
      <c r="H74" s="39">
        <f t="shared" si="6"/>
        <v>0</v>
      </c>
    </row>
    <row r="75" ht="15.0" customHeight="1">
      <c r="A75" s="27" t="s">
        <v>101</v>
      </c>
      <c r="B75" s="54"/>
      <c r="C75" s="56"/>
      <c r="D75" s="47"/>
      <c r="E75" s="31"/>
      <c r="F75" s="59"/>
      <c r="G75" s="33"/>
      <c r="H75" s="39"/>
    </row>
    <row r="76" ht="15.0" customHeight="1">
      <c r="A76" s="48" t="s">
        <v>102</v>
      </c>
      <c r="B76" s="54" t="s">
        <v>13</v>
      </c>
      <c r="C76" s="56">
        <v>24.0</v>
      </c>
      <c r="D76" s="47" t="s">
        <v>103</v>
      </c>
      <c r="E76" s="55">
        <v>1.59</v>
      </c>
      <c r="F76" s="59">
        <v>38.16</v>
      </c>
      <c r="G76" s="33"/>
      <c r="H76" s="39">
        <f t="shared" ref="H76:H81" si="7">G76*F76</f>
        <v>0</v>
      </c>
    </row>
    <row r="77" ht="15.0" customHeight="1">
      <c r="A77" s="48" t="s">
        <v>104</v>
      </c>
      <c r="B77" s="54" t="s">
        <v>13</v>
      </c>
      <c r="C77" s="56">
        <v>24.0</v>
      </c>
      <c r="D77" s="47" t="s">
        <v>105</v>
      </c>
      <c r="E77" s="55">
        <v>1.59</v>
      </c>
      <c r="F77" s="59">
        <v>38.16</v>
      </c>
      <c r="G77" s="33"/>
      <c r="H77" s="39">
        <f t="shared" si="7"/>
        <v>0</v>
      </c>
    </row>
    <row r="78" ht="15.0" customHeight="1">
      <c r="A78" s="48" t="s">
        <v>106</v>
      </c>
      <c r="B78" s="54" t="s">
        <v>13</v>
      </c>
      <c r="C78" s="56">
        <v>24.0</v>
      </c>
      <c r="D78" s="61" t="s">
        <v>107</v>
      </c>
      <c r="E78" s="55">
        <v>1.59</v>
      </c>
      <c r="F78" s="59">
        <v>38.16</v>
      </c>
      <c r="G78" s="33"/>
      <c r="H78" s="39">
        <f t="shared" si="7"/>
        <v>0</v>
      </c>
    </row>
    <row r="79" ht="15.0" customHeight="1">
      <c r="A79" s="48" t="s">
        <v>108</v>
      </c>
      <c r="B79" s="54" t="s">
        <v>13</v>
      </c>
      <c r="C79" s="56">
        <v>24.0</v>
      </c>
      <c r="D79" s="47" t="s">
        <v>109</v>
      </c>
      <c r="E79" s="55">
        <v>1.69</v>
      </c>
      <c r="F79" s="59">
        <v>40.56</v>
      </c>
      <c r="G79" s="33"/>
      <c r="H79" s="39">
        <f t="shared" si="7"/>
        <v>0</v>
      </c>
    </row>
    <row r="80" ht="15.0" customHeight="1">
      <c r="A80" s="49" t="s">
        <v>110</v>
      </c>
      <c r="B80" s="54" t="s">
        <v>13</v>
      </c>
      <c r="C80" s="56">
        <v>24.0</v>
      </c>
      <c r="D80" s="47" t="s">
        <v>111</v>
      </c>
      <c r="E80" s="55">
        <v>1.69</v>
      </c>
      <c r="F80" s="59">
        <v>40.56</v>
      </c>
      <c r="G80" s="33"/>
      <c r="H80" s="39">
        <f t="shared" si="7"/>
        <v>0</v>
      </c>
    </row>
    <row r="81" ht="15.0" customHeight="1">
      <c r="A81" s="48" t="s">
        <v>112</v>
      </c>
      <c r="B81" s="54" t="s">
        <v>13</v>
      </c>
      <c r="C81" s="56">
        <v>24.0</v>
      </c>
      <c r="D81" s="47" t="s">
        <v>113</v>
      </c>
      <c r="E81" s="55">
        <v>1.69</v>
      </c>
      <c r="F81" s="59">
        <v>40.56</v>
      </c>
      <c r="G81" s="33"/>
      <c r="H81" s="39">
        <f t="shared" si="7"/>
        <v>0</v>
      </c>
    </row>
    <row r="82" ht="15.0" customHeight="1">
      <c r="A82" s="27" t="s">
        <v>114</v>
      </c>
      <c r="B82" s="28"/>
      <c r="C82" s="29"/>
      <c r="D82" s="30"/>
      <c r="E82" s="31"/>
      <c r="F82" s="32"/>
      <c r="G82" s="33"/>
      <c r="H82" s="39"/>
    </row>
    <row r="83" ht="15.0" customHeight="1">
      <c r="A83" s="35" t="s">
        <v>115</v>
      </c>
      <c r="B83" s="36" t="s">
        <v>19</v>
      </c>
      <c r="C83" s="37">
        <v>24.0</v>
      </c>
      <c r="D83" s="30" t="s">
        <v>116</v>
      </c>
      <c r="E83" s="38">
        <v>1.0</v>
      </c>
      <c r="F83" s="32">
        <v>24.0</v>
      </c>
      <c r="G83" s="33"/>
      <c r="H83" s="39">
        <f t="shared" ref="H83:H84" si="8">G83*F83</f>
        <v>0</v>
      </c>
    </row>
    <row r="84" ht="15.0" customHeight="1">
      <c r="A84" s="35" t="s">
        <v>117</v>
      </c>
      <c r="B84" s="36" t="s">
        <v>19</v>
      </c>
      <c r="C84" s="37">
        <v>24.0</v>
      </c>
      <c r="D84" s="30" t="s">
        <v>118</v>
      </c>
      <c r="E84" s="38">
        <v>1.0</v>
      </c>
      <c r="F84" s="32">
        <v>24.0</v>
      </c>
      <c r="G84" s="33"/>
      <c r="H84" s="39">
        <f t="shared" si="8"/>
        <v>0</v>
      </c>
    </row>
    <row r="85" ht="15.0" customHeight="1">
      <c r="A85" s="27" t="s">
        <v>119</v>
      </c>
      <c r="B85" s="28"/>
      <c r="C85" s="29"/>
      <c r="D85" s="30"/>
      <c r="E85" s="31"/>
      <c r="F85" s="32"/>
      <c r="G85" s="33"/>
      <c r="H85" s="39"/>
    </row>
    <row r="86" ht="15.0" customHeight="1">
      <c r="A86" s="44" t="s">
        <v>120</v>
      </c>
      <c r="B86" s="36" t="s">
        <v>13</v>
      </c>
      <c r="C86" s="37">
        <v>24.0</v>
      </c>
      <c r="D86" s="30">
        <v>8.855790000028E12</v>
      </c>
      <c r="E86" s="38">
        <v>0.95</v>
      </c>
      <c r="F86" s="32">
        <v>22.8</v>
      </c>
      <c r="G86" s="33"/>
      <c r="H86" s="39">
        <f>G86*F86</f>
        <v>0</v>
      </c>
    </row>
    <row r="87" ht="15.0" customHeight="1">
      <c r="A87" s="27" t="s">
        <v>121</v>
      </c>
      <c r="B87" s="28"/>
      <c r="C87" s="29"/>
      <c r="D87" s="30"/>
      <c r="E87" s="31"/>
      <c r="F87" s="32"/>
      <c r="G87" s="33"/>
      <c r="H87" s="39"/>
    </row>
    <row r="88" ht="15.0" customHeight="1">
      <c r="A88" s="35" t="s">
        <v>122</v>
      </c>
      <c r="B88" s="36" t="s">
        <v>19</v>
      </c>
      <c r="C88" s="37">
        <v>24.0</v>
      </c>
      <c r="D88" s="30">
        <v>3.551720206717E12</v>
      </c>
      <c r="E88" s="38">
        <v>1.0</v>
      </c>
      <c r="F88" s="32">
        <v>24.0</v>
      </c>
      <c r="G88" s="33"/>
      <c r="H88" s="39">
        <f t="shared" ref="H88:H94" si="9">G88*F88</f>
        <v>0</v>
      </c>
    </row>
    <row r="89" ht="15.0" customHeight="1">
      <c r="A89" s="35" t="s">
        <v>123</v>
      </c>
      <c r="B89" s="36" t="s">
        <v>19</v>
      </c>
      <c r="C89" s="37">
        <v>12.0</v>
      </c>
      <c r="D89" s="30">
        <v>3.760205598814E12</v>
      </c>
      <c r="E89" s="38">
        <v>1.1</v>
      </c>
      <c r="F89" s="32">
        <v>13.2</v>
      </c>
      <c r="G89" s="33"/>
      <c r="H89" s="39">
        <f t="shared" si="9"/>
        <v>0</v>
      </c>
    </row>
    <row r="90" ht="15.0" customHeight="1">
      <c r="A90" s="35" t="s">
        <v>124</v>
      </c>
      <c r="B90" s="36" t="s">
        <v>19</v>
      </c>
      <c r="C90" s="37">
        <v>12.0</v>
      </c>
      <c r="D90" s="30">
        <v>3.760205598241E12</v>
      </c>
      <c r="E90" s="38">
        <v>1.1</v>
      </c>
      <c r="F90" s="32">
        <v>13.2</v>
      </c>
      <c r="G90" s="33"/>
      <c r="H90" s="39">
        <f t="shared" si="9"/>
        <v>0</v>
      </c>
    </row>
    <row r="91" ht="15.0" customHeight="1">
      <c r="A91" s="35" t="s">
        <v>125</v>
      </c>
      <c r="B91" s="36" t="s">
        <v>19</v>
      </c>
      <c r="C91" s="37">
        <v>12.0</v>
      </c>
      <c r="D91" s="30">
        <v>3.760205599118E12</v>
      </c>
      <c r="E91" s="38">
        <v>1.1</v>
      </c>
      <c r="F91" s="32">
        <v>13.2</v>
      </c>
      <c r="G91" s="33"/>
      <c r="H91" s="39">
        <f t="shared" si="9"/>
        <v>0</v>
      </c>
    </row>
    <row r="92" ht="15.0" customHeight="1">
      <c r="A92" s="35" t="s">
        <v>126</v>
      </c>
      <c r="B92" s="36" t="s">
        <v>15</v>
      </c>
      <c r="C92" s="37">
        <v>6.0</v>
      </c>
      <c r="D92" s="30">
        <v>3.760205590009E12</v>
      </c>
      <c r="E92" s="38">
        <v>1.85</v>
      </c>
      <c r="F92" s="32">
        <f t="shared" ref="F92:F94" si="10">E92*C92</f>
        <v>11.1</v>
      </c>
      <c r="G92" s="33"/>
      <c r="H92" s="39">
        <f t="shared" si="9"/>
        <v>0</v>
      </c>
    </row>
    <row r="93" ht="15.0" customHeight="1">
      <c r="A93" s="35" t="s">
        <v>127</v>
      </c>
      <c r="B93" s="36" t="s">
        <v>15</v>
      </c>
      <c r="C93" s="37">
        <v>6.0</v>
      </c>
      <c r="D93" s="30">
        <v>3.551720206823E12</v>
      </c>
      <c r="E93" s="38">
        <v>1.85</v>
      </c>
      <c r="F93" s="32">
        <f t="shared" si="10"/>
        <v>11.1</v>
      </c>
      <c r="G93" s="33"/>
      <c r="H93" s="39">
        <f t="shared" si="9"/>
        <v>0</v>
      </c>
    </row>
    <row r="94" ht="15.0" customHeight="1">
      <c r="A94" s="35" t="s">
        <v>128</v>
      </c>
      <c r="B94" s="36" t="s">
        <v>15</v>
      </c>
      <c r="C94" s="37">
        <v>6.0</v>
      </c>
      <c r="D94" s="30">
        <v>3.551720206854E12</v>
      </c>
      <c r="E94" s="38">
        <v>1.85</v>
      </c>
      <c r="F94" s="32">
        <f t="shared" si="10"/>
        <v>11.1</v>
      </c>
      <c r="G94" s="33"/>
      <c r="H94" s="39">
        <f t="shared" si="9"/>
        <v>0</v>
      </c>
    </row>
    <row r="95" ht="15.0" customHeight="1">
      <c r="A95" s="19" t="s">
        <v>129</v>
      </c>
      <c r="B95" s="62"/>
      <c r="C95" s="63"/>
      <c r="D95" s="64"/>
      <c r="E95" s="65"/>
      <c r="F95" s="66"/>
      <c r="G95" s="67"/>
      <c r="H95" s="68"/>
    </row>
    <row r="96" ht="15.0" customHeight="1">
      <c r="A96" s="27" t="s">
        <v>130</v>
      </c>
      <c r="B96" s="28"/>
      <c r="C96" s="29"/>
      <c r="D96" s="30"/>
      <c r="E96" s="31"/>
      <c r="F96" s="32"/>
      <c r="G96" s="33"/>
      <c r="H96" s="39"/>
    </row>
    <row r="97" ht="15.0" customHeight="1">
      <c r="A97" s="69" t="s">
        <v>131</v>
      </c>
      <c r="B97" s="54" t="s">
        <v>132</v>
      </c>
      <c r="C97" s="56">
        <v>24.0</v>
      </c>
      <c r="D97" s="60" t="s">
        <v>133</v>
      </c>
      <c r="E97" s="55">
        <v>1.1</v>
      </c>
      <c r="F97" s="59">
        <v>26.4</v>
      </c>
      <c r="G97" s="33"/>
      <c r="H97" s="39">
        <f t="shared" ref="H97:H100" si="11">G97*F97</f>
        <v>0</v>
      </c>
    </row>
    <row r="98" ht="15.0" customHeight="1">
      <c r="A98" s="69" t="s">
        <v>134</v>
      </c>
      <c r="B98" s="54" t="s">
        <v>132</v>
      </c>
      <c r="C98" s="56">
        <v>24.0</v>
      </c>
      <c r="D98" s="60" t="s">
        <v>135</v>
      </c>
      <c r="E98" s="55">
        <v>1.1</v>
      </c>
      <c r="F98" s="59">
        <v>26.4</v>
      </c>
      <c r="G98" s="33"/>
      <c r="H98" s="39">
        <f t="shared" si="11"/>
        <v>0</v>
      </c>
    </row>
    <row r="99" ht="15.0" customHeight="1">
      <c r="A99" s="69" t="s">
        <v>136</v>
      </c>
      <c r="B99" s="54" t="s">
        <v>132</v>
      </c>
      <c r="C99" s="56">
        <v>24.0</v>
      </c>
      <c r="D99" s="60" t="s">
        <v>137</v>
      </c>
      <c r="E99" s="55">
        <v>1.1</v>
      </c>
      <c r="F99" s="59">
        <v>26.4</v>
      </c>
      <c r="G99" s="33"/>
      <c r="H99" s="39">
        <f t="shared" si="11"/>
        <v>0</v>
      </c>
    </row>
    <row r="100" ht="15.0" customHeight="1">
      <c r="A100" s="69" t="s">
        <v>138</v>
      </c>
      <c r="B100" s="54" t="s">
        <v>132</v>
      </c>
      <c r="C100" s="56">
        <v>24.0</v>
      </c>
      <c r="D100" s="60" t="s">
        <v>139</v>
      </c>
      <c r="E100" s="55">
        <v>1.1</v>
      </c>
      <c r="F100" s="59">
        <v>26.4</v>
      </c>
      <c r="G100" s="33"/>
      <c r="H100" s="39">
        <f t="shared" si="11"/>
        <v>0</v>
      </c>
    </row>
    <row r="101" ht="15.0" customHeight="1">
      <c r="A101" s="70" t="s">
        <v>140</v>
      </c>
      <c r="B101" s="36"/>
      <c r="C101" s="37"/>
      <c r="D101" s="30"/>
      <c r="E101" s="38"/>
      <c r="F101" s="32"/>
      <c r="G101" s="33"/>
      <c r="H101" s="39"/>
    </row>
    <row r="102" ht="15.0" customHeight="1">
      <c r="A102" s="35" t="s">
        <v>141</v>
      </c>
      <c r="B102" s="36" t="s">
        <v>142</v>
      </c>
      <c r="C102" s="37">
        <v>24.0</v>
      </c>
      <c r="D102" s="30" t="s">
        <v>143</v>
      </c>
      <c r="E102" s="38">
        <v>0.95</v>
      </c>
      <c r="F102" s="32">
        <v>22.8</v>
      </c>
      <c r="G102" s="33"/>
      <c r="H102" s="39">
        <f t="shared" ref="H102:H114" si="12">G102*F102</f>
        <v>0</v>
      </c>
    </row>
    <row r="103" ht="15.0" customHeight="1">
      <c r="A103" s="35" t="s">
        <v>144</v>
      </c>
      <c r="B103" s="36" t="s">
        <v>142</v>
      </c>
      <c r="C103" s="37">
        <v>24.0</v>
      </c>
      <c r="D103" s="30" t="s">
        <v>145</v>
      </c>
      <c r="E103" s="38">
        <v>0.95</v>
      </c>
      <c r="F103" s="32">
        <v>22.8</v>
      </c>
      <c r="G103" s="33"/>
      <c r="H103" s="39">
        <f t="shared" si="12"/>
        <v>0</v>
      </c>
    </row>
    <row r="104" ht="15.0" customHeight="1">
      <c r="A104" s="35" t="s">
        <v>146</v>
      </c>
      <c r="B104" s="36" t="s">
        <v>142</v>
      </c>
      <c r="C104" s="37">
        <v>24.0</v>
      </c>
      <c r="D104" s="30" t="s">
        <v>147</v>
      </c>
      <c r="E104" s="38">
        <v>0.95</v>
      </c>
      <c r="F104" s="32">
        <v>22.8</v>
      </c>
      <c r="G104" s="33"/>
      <c r="H104" s="39">
        <f t="shared" si="12"/>
        <v>0</v>
      </c>
    </row>
    <row r="105" ht="15.0" customHeight="1">
      <c r="A105" s="35" t="s">
        <v>148</v>
      </c>
      <c r="B105" s="36" t="s">
        <v>142</v>
      </c>
      <c r="C105" s="37">
        <v>24.0</v>
      </c>
      <c r="D105" s="30" t="s">
        <v>149</v>
      </c>
      <c r="E105" s="38">
        <v>0.95</v>
      </c>
      <c r="F105" s="32">
        <v>22.8</v>
      </c>
      <c r="G105" s="33"/>
      <c r="H105" s="39">
        <f t="shared" si="12"/>
        <v>0</v>
      </c>
    </row>
    <row r="106" ht="15.0" customHeight="1">
      <c r="A106" s="35" t="s">
        <v>150</v>
      </c>
      <c r="B106" s="36" t="s">
        <v>142</v>
      </c>
      <c r="C106" s="37">
        <v>24.0</v>
      </c>
      <c r="D106" s="30" t="s">
        <v>151</v>
      </c>
      <c r="E106" s="38">
        <v>0.95</v>
      </c>
      <c r="F106" s="32">
        <v>22.8</v>
      </c>
      <c r="G106" s="33"/>
      <c r="H106" s="39">
        <f t="shared" si="12"/>
        <v>0</v>
      </c>
    </row>
    <row r="107" ht="15.0" customHeight="1">
      <c r="A107" s="35" t="s">
        <v>152</v>
      </c>
      <c r="B107" s="36" t="s">
        <v>142</v>
      </c>
      <c r="C107" s="37">
        <v>24.0</v>
      </c>
      <c r="D107" s="30" t="s">
        <v>153</v>
      </c>
      <c r="E107" s="38">
        <v>0.95</v>
      </c>
      <c r="F107" s="32">
        <v>22.8</v>
      </c>
      <c r="G107" s="33"/>
      <c r="H107" s="39">
        <f t="shared" si="12"/>
        <v>0</v>
      </c>
    </row>
    <row r="108" ht="15.0" customHeight="1">
      <c r="A108" s="35" t="s">
        <v>154</v>
      </c>
      <c r="B108" s="36" t="s">
        <v>142</v>
      </c>
      <c r="C108" s="37">
        <v>24.0</v>
      </c>
      <c r="D108" s="30" t="s">
        <v>155</v>
      </c>
      <c r="E108" s="38">
        <v>0.95</v>
      </c>
      <c r="F108" s="32">
        <v>22.8</v>
      </c>
      <c r="G108" s="33"/>
      <c r="H108" s="39">
        <f t="shared" si="12"/>
        <v>0</v>
      </c>
    </row>
    <row r="109" ht="15.0" customHeight="1">
      <c r="A109" s="35" t="s">
        <v>156</v>
      </c>
      <c r="B109" s="36" t="s">
        <v>142</v>
      </c>
      <c r="C109" s="37">
        <v>24.0</v>
      </c>
      <c r="D109" s="30" t="s">
        <v>157</v>
      </c>
      <c r="E109" s="38">
        <v>0.95</v>
      </c>
      <c r="F109" s="32">
        <v>22.8</v>
      </c>
      <c r="G109" s="33"/>
      <c r="H109" s="39">
        <f t="shared" si="12"/>
        <v>0</v>
      </c>
    </row>
    <row r="110" ht="15.0" customHeight="1">
      <c r="A110" s="35" t="s">
        <v>158</v>
      </c>
      <c r="B110" s="36" t="s">
        <v>142</v>
      </c>
      <c r="C110" s="37">
        <v>24.0</v>
      </c>
      <c r="D110" s="30" t="s">
        <v>159</v>
      </c>
      <c r="E110" s="38">
        <v>0.95</v>
      </c>
      <c r="F110" s="32">
        <v>22.8</v>
      </c>
      <c r="G110" s="33"/>
      <c r="H110" s="39">
        <f t="shared" si="12"/>
        <v>0</v>
      </c>
    </row>
    <row r="111" ht="15.0" customHeight="1">
      <c r="A111" s="35" t="s">
        <v>160</v>
      </c>
      <c r="B111" s="36" t="s">
        <v>142</v>
      </c>
      <c r="C111" s="37">
        <v>24.0</v>
      </c>
      <c r="D111" s="30" t="s">
        <v>161</v>
      </c>
      <c r="E111" s="38">
        <v>0.95</v>
      </c>
      <c r="F111" s="32">
        <v>22.8</v>
      </c>
      <c r="G111" s="33"/>
      <c r="H111" s="39">
        <f t="shared" si="12"/>
        <v>0</v>
      </c>
    </row>
    <row r="112" ht="15.0" customHeight="1">
      <c r="A112" s="35" t="s">
        <v>162</v>
      </c>
      <c r="B112" s="36" t="s">
        <v>142</v>
      </c>
      <c r="C112" s="37">
        <v>24.0</v>
      </c>
      <c r="D112" s="30" t="s">
        <v>163</v>
      </c>
      <c r="E112" s="38">
        <v>0.95</v>
      </c>
      <c r="F112" s="32">
        <v>22.8</v>
      </c>
      <c r="G112" s="33"/>
      <c r="H112" s="39">
        <f t="shared" si="12"/>
        <v>0</v>
      </c>
    </row>
    <row r="113" ht="15.0" customHeight="1">
      <c r="A113" s="35" t="s">
        <v>164</v>
      </c>
      <c r="B113" s="36" t="s">
        <v>142</v>
      </c>
      <c r="C113" s="37">
        <v>24.0</v>
      </c>
      <c r="D113" s="30" t="s">
        <v>165</v>
      </c>
      <c r="E113" s="38">
        <v>0.95</v>
      </c>
      <c r="F113" s="32">
        <v>22.8</v>
      </c>
      <c r="G113" s="33"/>
      <c r="H113" s="39">
        <f t="shared" si="12"/>
        <v>0</v>
      </c>
    </row>
    <row r="114" ht="15.0" customHeight="1">
      <c r="A114" s="43" t="s">
        <v>166</v>
      </c>
      <c r="B114" s="54" t="s">
        <v>142</v>
      </c>
      <c r="C114" s="56">
        <v>24.0</v>
      </c>
      <c r="D114" s="58" t="s">
        <v>167</v>
      </c>
      <c r="E114" s="55">
        <v>0.95</v>
      </c>
      <c r="F114" s="59">
        <v>22.8</v>
      </c>
      <c r="G114" s="33"/>
      <c r="H114" s="39">
        <f t="shared" si="12"/>
        <v>0</v>
      </c>
    </row>
    <row r="115" ht="15.0" customHeight="1">
      <c r="A115" s="27" t="s">
        <v>168</v>
      </c>
      <c r="B115" s="28"/>
      <c r="C115" s="29"/>
      <c r="D115" s="30"/>
      <c r="E115" s="31"/>
      <c r="F115" s="32"/>
      <c r="G115" s="33"/>
      <c r="H115" s="39"/>
    </row>
    <row r="116" ht="15.0" customHeight="1">
      <c r="A116" s="44" t="s">
        <v>169</v>
      </c>
      <c r="B116" s="36" t="s">
        <v>132</v>
      </c>
      <c r="C116" s="37">
        <v>24.0</v>
      </c>
      <c r="D116" s="30">
        <v>3.760269851047E12</v>
      </c>
      <c r="E116" s="38">
        <v>1.25</v>
      </c>
      <c r="F116" s="32">
        <f t="shared" ref="F116:F119" si="13">E116*C116</f>
        <v>30</v>
      </c>
      <c r="G116" s="33"/>
      <c r="H116" s="39">
        <f t="shared" ref="H116:H119" si="14">G116*F116</f>
        <v>0</v>
      </c>
    </row>
    <row r="117" ht="15.0" customHeight="1">
      <c r="A117" s="44" t="s">
        <v>170</v>
      </c>
      <c r="B117" s="36" t="s">
        <v>132</v>
      </c>
      <c r="C117" s="37">
        <v>24.0</v>
      </c>
      <c r="D117" s="30">
        <v>3.760269851184E12</v>
      </c>
      <c r="E117" s="38">
        <v>1.25</v>
      </c>
      <c r="F117" s="32">
        <f t="shared" si="13"/>
        <v>30</v>
      </c>
      <c r="G117" s="33"/>
      <c r="H117" s="39">
        <f t="shared" si="14"/>
        <v>0</v>
      </c>
    </row>
    <row r="118" ht="15.0" customHeight="1">
      <c r="A118" s="44" t="s">
        <v>171</v>
      </c>
      <c r="B118" s="36" t="s">
        <v>132</v>
      </c>
      <c r="C118" s="37">
        <v>24.0</v>
      </c>
      <c r="D118" s="30">
        <v>3.760269851207E12</v>
      </c>
      <c r="E118" s="38">
        <v>1.25</v>
      </c>
      <c r="F118" s="32">
        <f t="shared" si="13"/>
        <v>30</v>
      </c>
      <c r="G118" s="33"/>
      <c r="H118" s="39">
        <f t="shared" si="14"/>
        <v>0</v>
      </c>
    </row>
    <row r="119" ht="15.0" customHeight="1">
      <c r="A119" s="44" t="s">
        <v>172</v>
      </c>
      <c r="B119" s="36" t="s">
        <v>132</v>
      </c>
      <c r="C119" s="37">
        <v>24.0</v>
      </c>
      <c r="D119" s="30">
        <v>3.760269851221E12</v>
      </c>
      <c r="E119" s="38">
        <v>1.25</v>
      </c>
      <c r="F119" s="32">
        <f t="shared" si="13"/>
        <v>30</v>
      </c>
      <c r="G119" s="33"/>
      <c r="H119" s="39">
        <f t="shared" si="14"/>
        <v>0</v>
      </c>
    </row>
    <row r="120" ht="15.0" customHeight="1">
      <c r="A120" s="27" t="s">
        <v>173</v>
      </c>
      <c r="B120" s="28"/>
      <c r="C120" s="29"/>
      <c r="D120" s="30"/>
      <c r="E120" s="31"/>
      <c r="F120" s="32"/>
      <c r="G120" s="33"/>
      <c r="H120" s="39"/>
    </row>
    <row r="121" ht="15.0" customHeight="1">
      <c r="A121" s="35" t="s">
        <v>174</v>
      </c>
      <c r="B121" s="36" t="s">
        <v>175</v>
      </c>
      <c r="C121" s="37">
        <v>24.0</v>
      </c>
      <c r="D121" s="30">
        <v>3.760287010174E12</v>
      </c>
      <c r="E121" s="38">
        <v>0.6</v>
      </c>
      <c r="F121" s="32">
        <v>14.4</v>
      </c>
      <c r="G121" s="33"/>
      <c r="H121" s="39">
        <f t="shared" ref="H121:H122" si="15">G121*F121</f>
        <v>0</v>
      </c>
    </row>
    <row r="122" ht="15.0" customHeight="1">
      <c r="A122" s="35" t="s">
        <v>176</v>
      </c>
      <c r="B122" s="36" t="s">
        <v>175</v>
      </c>
      <c r="C122" s="37">
        <v>24.0</v>
      </c>
      <c r="D122" s="30">
        <v>3.760287010167E12</v>
      </c>
      <c r="E122" s="38">
        <v>0.6</v>
      </c>
      <c r="F122" s="32">
        <v>14.4</v>
      </c>
      <c r="G122" s="33"/>
      <c r="H122" s="39">
        <f t="shared" si="15"/>
        <v>0</v>
      </c>
    </row>
    <row r="123" ht="15.0" customHeight="1">
      <c r="A123" s="27" t="s">
        <v>177</v>
      </c>
      <c r="B123" s="28"/>
      <c r="C123" s="29"/>
      <c r="D123" s="30"/>
      <c r="E123" s="31"/>
      <c r="F123" s="32"/>
      <c r="G123" s="33"/>
      <c r="H123" s="39"/>
    </row>
    <row r="124" ht="15.0" customHeight="1">
      <c r="A124" s="49" t="s">
        <v>178</v>
      </c>
      <c r="B124" s="54" t="s">
        <v>175</v>
      </c>
      <c r="C124" s="56">
        <v>24.0</v>
      </c>
      <c r="D124" s="47">
        <v>9.015340103534E12</v>
      </c>
      <c r="E124" s="55">
        <v>0.75</v>
      </c>
      <c r="F124" s="59">
        <v>18.0</v>
      </c>
      <c r="G124" s="33"/>
      <c r="H124" s="39">
        <f t="shared" ref="H124:H126" si="16">G124*F124</f>
        <v>0</v>
      </c>
    </row>
    <row r="125" ht="15.0" customHeight="1">
      <c r="A125" s="49" t="s">
        <v>179</v>
      </c>
      <c r="B125" s="54" t="s">
        <v>175</v>
      </c>
      <c r="C125" s="56">
        <v>24.0</v>
      </c>
      <c r="D125" s="47">
        <v>9.01534010351E12</v>
      </c>
      <c r="E125" s="55">
        <v>0.75</v>
      </c>
      <c r="F125" s="59">
        <v>18.0</v>
      </c>
      <c r="G125" s="33"/>
      <c r="H125" s="39">
        <f t="shared" si="16"/>
        <v>0</v>
      </c>
    </row>
    <row r="126" ht="15.0" customHeight="1">
      <c r="A126" s="49" t="s">
        <v>180</v>
      </c>
      <c r="B126" s="54" t="s">
        <v>175</v>
      </c>
      <c r="C126" s="56">
        <v>24.0</v>
      </c>
      <c r="D126" s="71">
        <v>9.015340103558E12</v>
      </c>
      <c r="E126" s="55">
        <v>0.75</v>
      </c>
      <c r="F126" s="59">
        <v>18.0</v>
      </c>
      <c r="G126" s="33"/>
      <c r="H126" s="39">
        <f t="shared" si="16"/>
        <v>0</v>
      </c>
    </row>
    <row r="127" ht="15.0" customHeight="1">
      <c r="A127" s="27" t="s">
        <v>181</v>
      </c>
      <c r="B127" s="28"/>
      <c r="C127" s="29"/>
      <c r="D127" s="30"/>
      <c r="E127" s="31"/>
      <c r="F127" s="32"/>
      <c r="G127" s="33"/>
      <c r="H127" s="39"/>
    </row>
    <row r="128" ht="15.0" customHeight="1">
      <c r="A128" s="35" t="s">
        <v>182</v>
      </c>
      <c r="B128" s="36" t="s">
        <v>183</v>
      </c>
      <c r="C128" s="37">
        <v>24.0</v>
      </c>
      <c r="D128" s="30">
        <v>3.760287010327E12</v>
      </c>
      <c r="E128" s="38">
        <v>1.05</v>
      </c>
      <c r="F128" s="32">
        <v>25.2</v>
      </c>
      <c r="G128" s="33"/>
      <c r="H128" s="39">
        <f t="shared" ref="H128:H136" si="17">G128*F128</f>
        <v>0</v>
      </c>
    </row>
    <row r="129" ht="15.0" customHeight="1">
      <c r="A129" s="35" t="s">
        <v>184</v>
      </c>
      <c r="B129" s="36" t="s">
        <v>183</v>
      </c>
      <c r="C129" s="37">
        <v>24.0</v>
      </c>
      <c r="D129" s="30">
        <v>3.760287010303E12</v>
      </c>
      <c r="E129" s="38">
        <v>1.05</v>
      </c>
      <c r="F129" s="32">
        <v>25.2</v>
      </c>
      <c r="G129" s="33"/>
      <c r="H129" s="39">
        <f t="shared" si="17"/>
        <v>0</v>
      </c>
    </row>
    <row r="130" ht="15.0" customHeight="1">
      <c r="A130" s="35" t="s">
        <v>185</v>
      </c>
      <c r="B130" s="36" t="s">
        <v>183</v>
      </c>
      <c r="C130" s="37">
        <v>24.0</v>
      </c>
      <c r="D130" s="30">
        <v>3.760287010235E12</v>
      </c>
      <c r="E130" s="38">
        <v>1.05</v>
      </c>
      <c r="F130" s="32">
        <v>25.2</v>
      </c>
      <c r="G130" s="33"/>
      <c r="H130" s="39">
        <f t="shared" si="17"/>
        <v>0</v>
      </c>
    </row>
    <row r="131" ht="15.0" customHeight="1">
      <c r="A131" s="35" t="s">
        <v>186</v>
      </c>
      <c r="B131" s="36" t="s">
        <v>183</v>
      </c>
      <c r="C131" s="37">
        <v>24.0</v>
      </c>
      <c r="D131" s="30">
        <v>3.76028701028E12</v>
      </c>
      <c r="E131" s="38">
        <v>1.05</v>
      </c>
      <c r="F131" s="32">
        <v>25.2</v>
      </c>
      <c r="G131" s="33"/>
      <c r="H131" s="39">
        <f t="shared" si="17"/>
        <v>0</v>
      </c>
    </row>
    <row r="132" ht="15.0" customHeight="1">
      <c r="A132" s="35" t="s">
        <v>187</v>
      </c>
      <c r="B132" s="36" t="s">
        <v>183</v>
      </c>
      <c r="C132" s="37">
        <v>24.0</v>
      </c>
      <c r="D132" s="30">
        <v>3.760287010297E12</v>
      </c>
      <c r="E132" s="38">
        <v>1.05</v>
      </c>
      <c r="F132" s="32">
        <v>25.2</v>
      </c>
      <c r="G132" s="33"/>
      <c r="H132" s="39">
        <f t="shared" si="17"/>
        <v>0</v>
      </c>
    </row>
    <row r="133" ht="15.0" customHeight="1">
      <c r="A133" s="35" t="s">
        <v>188</v>
      </c>
      <c r="B133" s="36" t="s">
        <v>183</v>
      </c>
      <c r="C133" s="37">
        <v>24.0</v>
      </c>
      <c r="D133" s="30">
        <v>3.760287010266E12</v>
      </c>
      <c r="E133" s="38">
        <v>1.05</v>
      </c>
      <c r="F133" s="32">
        <v>25.2</v>
      </c>
      <c r="G133" s="33"/>
      <c r="H133" s="39">
        <f t="shared" si="17"/>
        <v>0</v>
      </c>
    </row>
    <row r="134" ht="15.0" customHeight="1">
      <c r="A134" s="35" t="s">
        <v>189</v>
      </c>
      <c r="B134" s="36" t="s">
        <v>183</v>
      </c>
      <c r="C134" s="37">
        <v>24.0</v>
      </c>
      <c r="D134" s="30">
        <v>3.760287010259E12</v>
      </c>
      <c r="E134" s="38">
        <v>1.05</v>
      </c>
      <c r="F134" s="32">
        <v>25.2</v>
      </c>
      <c r="G134" s="33"/>
      <c r="H134" s="39">
        <f t="shared" si="17"/>
        <v>0</v>
      </c>
    </row>
    <row r="135" ht="15.0" customHeight="1">
      <c r="A135" s="35" t="s">
        <v>190</v>
      </c>
      <c r="B135" s="36" t="s">
        <v>183</v>
      </c>
      <c r="C135" s="37">
        <v>24.0</v>
      </c>
      <c r="D135" s="30">
        <v>3.760287010273E12</v>
      </c>
      <c r="E135" s="38">
        <v>1.05</v>
      </c>
      <c r="F135" s="32">
        <v>25.2</v>
      </c>
      <c r="G135" s="33"/>
      <c r="H135" s="39">
        <f t="shared" si="17"/>
        <v>0</v>
      </c>
    </row>
    <row r="136" ht="15.0" customHeight="1">
      <c r="A136" s="35" t="s">
        <v>191</v>
      </c>
      <c r="B136" s="36" t="s">
        <v>183</v>
      </c>
      <c r="C136" s="37">
        <v>24.0</v>
      </c>
      <c r="D136" s="30">
        <v>3.76028701031E12</v>
      </c>
      <c r="E136" s="38">
        <v>1.05</v>
      </c>
      <c r="F136" s="32">
        <v>25.2</v>
      </c>
      <c r="G136" s="33"/>
      <c r="H136" s="39">
        <f t="shared" si="17"/>
        <v>0</v>
      </c>
    </row>
    <row r="137" ht="15.0" customHeight="1">
      <c r="A137" s="27" t="s">
        <v>192</v>
      </c>
      <c r="B137" s="28"/>
      <c r="C137" s="29"/>
      <c r="D137" s="30"/>
      <c r="E137" s="31"/>
      <c r="F137" s="32"/>
      <c r="G137" s="33"/>
      <c r="H137" s="39"/>
    </row>
    <row r="138" ht="15.0" customHeight="1">
      <c r="A138" s="35" t="s">
        <v>193</v>
      </c>
      <c r="B138" s="36" t="s">
        <v>194</v>
      </c>
      <c r="C138" s="37">
        <v>10.0</v>
      </c>
      <c r="D138" s="30">
        <v>4.779033974409E12</v>
      </c>
      <c r="E138" s="38">
        <v>2.3</v>
      </c>
      <c r="F138" s="32">
        <v>23.0</v>
      </c>
      <c r="G138" s="33"/>
      <c r="H138" s="39">
        <f t="shared" ref="H138:H143" si="18">G138*F138</f>
        <v>0</v>
      </c>
    </row>
    <row r="139" ht="15.0" customHeight="1">
      <c r="A139" s="35" t="s">
        <v>195</v>
      </c>
      <c r="B139" s="36" t="s">
        <v>194</v>
      </c>
      <c r="C139" s="37">
        <v>10.0</v>
      </c>
      <c r="D139" s="30">
        <v>4.779033974218E12</v>
      </c>
      <c r="E139" s="38">
        <v>2.3</v>
      </c>
      <c r="F139" s="32">
        <v>23.0</v>
      </c>
      <c r="G139" s="33"/>
      <c r="H139" s="39">
        <f t="shared" si="18"/>
        <v>0</v>
      </c>
    </row>
    <row r="140" ht="15.0" customHeight="1">
      <c r="A140" s="35" t="s">
        <v>196</v>
      </c>
      <c r="B140" s="36" t="s">
        <v>194</v>
      </c>
      <c r="C140" s="37">
        <v>10.0</v>
      </c>
      <c r="D140" s="30">
        <v>4.779056910194E12</v>
      </c>
      <c r="E140" s="38">
        <v>2.3</v>
      </c>
      <c r="F140" s="32">
        <v>23.0</v>
      </c>
      <c r="G140" s="33"/>
      <c r="H140" s="39">
        <f t="shared" si="18"/>
        <v>0</v>
      </c>
    </row>
    <row r="141" ht="15.0" customHeight="1">
      <c r="A141" s="35" t="s">
        <v>197</v>
      </c>
      <c r="B141" s="36" t="s">
        <v>194</v>
      </c>
      <c r="C141" s="37">
        <v>10.0</v>
      </c>
      <c r="D141" s="30">
        <v>4.779056910187E12</v>
      </c>
      <c r="E141" s="38">
        <v>2.3</v>
      </c>
      <c r="F141" s="32">
        <v>23.0</v>
      </c>
      <c r="G141" s="33"/>
      <c r="H141" s="39">
        <f t="shared" si="18"/>
        <v>0</v>
      </c>
    </row>
    <row r="142" ht="15.0" customHeight="1">
      <c r="A142" s="35" t="s">
        <v>198</v>
      </c>
      <c r="B142" s="36" t="s">
        <v>199</v>
      </c>
      <c r="C142" s="37">
        <v>8.0</v>
      </c>
      <c r="D142" s="72">
        <v>4.71125628136E12</v>
      </c>
      <c r="E142" s="38">
        <v>2.15</v>
      </c>
      <c r="F142" s="32">
        <v>17.2</v>
      </c>
      <c r="G142" s="33"/>
      <c r="H142" s="39">
        <f t="shared" si="18"/>
        <v>0</v>
      </c>
    </row>
    <row r="143" ht="15.0" customHeight="1">
      <c r="A143" s="35" t="s">
        <v>200</v>
      </c>
      <c r="B143" s="36" t="s">
        <v>199</v>
      </c>
      <c r="C143" s="37">
        <v>8.0</v>
      </c>
      <c r="D143" s="30">
        <v>4.711256281377E12</v>
      </c>
      <c r="E143" s="38">
        <v>2.15</v>
      </c>
      <c r="F143" s="32">
        <v>17.2</v>
      </c>
      <c r="G143" s="33"/>
      <c r="H143" s="39">
        <f t="shared" si="18"/>
        <v>0</v>
      </c>
    </row>
    <row r="144" ht="15.0" customHeight="1">
      <c r="A144" s="27" t="s">
        <v>201</v>
      </c>
      <c r="B144" s="28"/>
      <c r="C144" s="29"/>
      <c r="D144" s="30"/>
      <c r="E144" s="31"/>
      <c r="F144" s="32"/>
      <c r="G144" s="33"/>
      <c r="H144" s="39"/>
    </row>
    <row r="145" ht="15.0" customHeight="1">
      <c r="A145" s="35" t="s">
        <v>202</v>
      </c>
      <c r="B145" s="36" t="s">
        <v>56</v>
      </c>
      <c r="C145" s="37">
        <v>24.0</v>
      </c>
      <c r="D145" s="30" t="s">
        <v>203</v>
      </c>
      <c r="E145" s="38">
        <v>1.55</v>
      </c>
      <c r="F145" s="32">
        <v>37.2</v>
      </c>
      <c r="G145" s="33"/>
      <c r="H145" s="39">
        <f t="shared" ref="H145:H150" si="19">G145*F145</f>
        <v>0</v>
      </c>
    </row>
    <row r="146" ht="15.0" customHeight="1">
      <c r="A146" s="35" t="s">
        <v>204</v>
      </c>
      <c r="B146" s="36" t="s">
        <v>56</v>
      </c>
      <c r="C146" s="37">
        <v>24.0</v>
      </c>
      <c r="D146" s="30" t="s">
        <v>205</v>
      </c>
      <c r="E146" s="38">
        <v>1.55</v>
      </c>
      <c r="F146" s="32">
        <v>37.2</v>
      </c>
      <c r="G146" s="33"/>
      <c r="H146" s="39">
        <f t="shared" si="19"/>
        <v>0</v>
      </c>
    </row>
    <row r="147" ht="15.0" customHeight="1">
      <c r="A147" s="35" t="s">
        <v>206</v>
      </c>
      <c r="B147" s="36" t="s">
        <v>56</v>
      </c>
      <c r="C147" s="37">
        <v>24.0</v>
      </c>
      <c r="D147" s="30" t="s">
        <v>207</v>
      </c>
      <c r="E147" s="38">
        <v>1.55</v>
      </c>
      <c r="F147" s="32">
        <v>37.2</v>
      </c>
      <c r="G147" s="33"/>
      <c r="H147" s="39">
        <f t="shared" si="19"/>
        <v>0</v>
      </c>
    </row>
    <row r="148" ht="15.0" customHeight="1">
      <c r="A148" s="35" t="s">
        <v>208</v>
      </c>
      <c r="B148" s="36" t="s">
        <v>56</v>
      </c>
      <c r="C148" s="37">
        <v>24.0</v>
      </c>
      <c r="D148" s="30" t="s">
        <v>209</v>
      </c>
      <c r="E148" s="38">
        <v>1.55</v>
      </c>
      <c r="F148" s="32">
        <v>37.2</v>
      </c>
      <c r="G148" s="33"/>
      <c r="H148" s="39">
        <f t="shared" si="19"/>
        <v>0</v>
      </c>
    </row>
    <row r="149" ht="15.0" customHeight="1">
      <c r="A149" s="35" t="s">
        <v>210</v>
      </c>
      <c r="B149" s="36" t="s">
        <v>56</v>
      </c>
      <c r="C149" s="37">
        <v>24.0</v>
      </c>
      <c r="D149" s="30" t="s">
        <v>211</v>
      </c>
      <c r="E149" s="38">
        <v>1.55</v>
      </c>
      <c r="F149" s="32">
        <v>37.2</v>
      </c>
      <c r="G149" s="33"/>
      <c r="H149" s="39">
        <f t="shared" si="19"/>
        <v>0</v>
      </c>
    </row>
    <row r="150" ht="15.0" customHeight="1">
      <c r="A150" s="35" t="s">
        <v>212</v>
      </c>
      <c r="B150" s="36" t="s">
        <v>56</v>
      </c>
      <c r="C150" s="37">
        <v>24.0</v>
      </c>
      <c r="D150" s="30" t="s">
        <v>213</v>
      </c>
      <c r="E150" s="38">
        <v>1.55</v>
      </c>
      <c r="F150" s="32">
        <v>37.2</v>
      </c>
      <c r="G150" s="33"/>
      <c r="H150" s="39">
        <f t="shared" si="19"/>
        <v>0</v>
      </c>
    </row>
    <row r="151" ht="15.0" customHeight="1">
      <c r="A151" s="27" t="s">
        <v>214</v>
      </c>
      <c r="B151" s="28"/>
      <c r="C151" s="29"/>
      <c r="D151" s="30"/>
      <c r="E151" s="31"/>
      <c r="F151" s="32"/>
      <c r="G151" s="33"/>
      <c r="H151" s="39"/>
    </row>
    <row r="152" ht="15.0" customHeight="1">
      <c r="A152" s="35" t="s">
        <v>215</v>
      </c>
      <c r="B152" s="36" t="s">
        <v>175</v>
      </c>
      <c r="C152" s="37">
        <v>24.0</v>
      </c>
      <c r="D152" s="30" t="s">
        <v>216</v>
      </c>
      <c r="E152" s="38">
        <v>0.85</v>
      </c>
      <c r="F152" s="32">
        <v>20.4</v>
      </c>
      <c r="G152" s="33"/>
      <c r="H152" s="39">
        <f t="shared" ref="H152:H166" si="20">G152*F152</f>
        <v>0</v>
      </c>
    </row>
    <row r="153" ht="15.0" customHeight="1">
      <c r="A153" s="35" t="s">
        <v>217</v>
      </c>
      <c r="B153" s="36" t="s">
        <v>175</v>
      </c>
      <c r="C153" s="37">
        <v>24.0</v>
      </c>
      <c r="D153" s="30" t="s">
        <v>216</v>
      </c>
      <c r="E153" s="38">
        <v>0.85</v>
      </c>
      <c r="F153" s="32">
        <v>20.4</v>
      </c>
      <c r="G153" s="33"/>
      <c r="H153" s="39">
        <f t="shared" si="20"/>
        <v>0</v>
      </c>
    </row>
    <row r="154" ht="15.0" customHeight="1">
      <c r="A154" s="35" t="s">
        <v>218</v>
      </c>
      <c r="B154" s="36" t="s">
        <v>175</v>
      </c>
      <c r="C154" s="37">
        <v>24.0</v>
      </c>
      <c r="D154" s="30" t="s">
        <v>216</v>
      </c>
      <c r="E154" s="38">
        <v>0.85</v>
      </c>
      <c r="F154" s="32">
        <v>20.4</v>
      </c>
      <c r="G154" s="33"/>
      <c r="H154" s="39">
        <f t="shared" si="20"/>
        <v>0</v>
      </c>
    </row>
    <row r="155" ht="15.0" customHeight="1">
      <c r="A155" s="35" t="s">
        <v>219</v>
      </c>
      <c r="B155" s="36" t="s">
        <v>175</v>
      </c>
      <c r="C155" s="37">
        <v>24.0</v>
      </c>
      <c r="D155" s="30" t="s">
        <v>216</v>
      </c>
      <c r="E155" s="38">
        <v>0.85</v>
      </c>
      <c r="F155" s="32">
        <v>20.4</v>
      </c>
      <c r="G155" s="33"/>
      <c r="H155" s="39">
        <f t="shared" si="20"/>
        <v>0</v>
      </c>
    </row>
    <row r="156" ht="15.0" customHeight="1">
      <c r="A156" s="35" t="s">
        <v>220</v>
      </c>
      <c r="B156" s="36" t="s">
        <v>175</v>
      </c>
      <c r="C156" s="37">
        <v>24.0</v>
      </c>
      <c r="D156" s="30">
        <v>9.00251542907E12</v>
      </c>
      <c r="E156" s="38">
        <v>0.85</v>
      </c>
      <c r="F156" s="32">
        <v>20.4</v>
      </c>
      <c r="G156" s="33"/>
      <c r="H156" s="39">
        <f t="shared" si="20"/>
        <v>0</v>
      </c>
    </row>
    <row r="157" ht="15.0" customHeight="1">
      <c r="A157" s="35" t="s">
        <v>221</v>
      </c>
      <c r="B157" s="36" t="s">
        <v>175</v>
      </c>
      <c r="C157" s="37">
        <v>24.0</v>
      </c>
      <c r="D157" s="30" t="s">
        <v>216</v>
      </c>
      <c r="E157" s="38">
        <v>0.85</v>
      </c>
      <c r="F157" s="32">
        <v>20.4</v>
      </c>
      <c r="G157" s="33"/>
      <c r="H157" s="39">
        <f t="shared" si="20"/>
        <v>0</v>
      </c>
    </row>
    <row r="158" ht="15.0" customHeight="1">
      <c r="A158" s="35" t="s">
        <v>222</v>
      </c>
      <c r="B158" s="36" t="s">
        <v>175</v>
      </c>
      <c r="C158" s="37">
        <v>24.0</v>
      </c>
      <c r="D158" s="30" t="s">
        <v>216</v>
      </c>
      <c r="E158" s="38">
        <v>0.85</v>
      </c>
      <c r="F158" s="32">
        <v>20.4</v>
      </c>
      <c r="G158" s="33"/>
      <c r="H158" s="39">
        <f t="shared" si="20"/>
        <v>0</v>
      </c>
    </row>
    <row r="159" ht="15.0" customHeight="1">
      <c r="A159" s="35" t="s">
        <v>223</v>
      </c>
      <c r="B159" s="36" t="s">
        <v>175</v>
      </c>
      <c r="C159" s="37">
        <v>24.0</v>
      </c>
      <c r="D159" s="30" t="s">
        <v>216</v>
      </c>
      <c r="E159" s="38">
        <v>0.85</v>
      </c>
      <c r="F159" s="32">
        <v>20.4</v>
      </c>
      <c r="G159" s="33"/>
      <c r="H159" s="39">
        <f t="shared" si="20"/>
        <v>0</v>
      </c>
    </row>
    <row r="160" ht="15.0" customHeight="1">
      <c r="A160" s="35" t="s">
        <v>224</v>
      </c>
      <c r="B160" s="36" t="s">
        <v>175</v>
      </c>
      <c r="C160" s="37">
        <v>24.0</v>
      </c>
      <c r="D160" s="30" t="s">
        <v>216</v>
      </c>
      <c r="E160" s="38">
        <v>0.85</v>
      </c>
      <c r="F160" s="32">
        <v>20.4</v>
      </c>
      <c r="G160" s="33"/>
      <c r="H160" s="39">
        <f t="shared" si="20"/>
        <v>0</v>
      </c>
    </row>
    <row r="161" ht="15.0" customHeight="1">
      <c r="A161" s="35" t="s">
        <v>225</v>
      </c>
      <c r="B161" s="36" t="s">
        <v>175</v>
      </c>
      <c r="C161" s="37">
        <v>24.0</v>
      </c>
      <c r="D161" s="30" t="s">
        <v>216</v>
      </c>
      <c r="E161" s="38">
        <v>0.85</v>
      </c>
      <c r="F161" s="32">
        <v>20.4</v>
      </c>
      <c r="G161" s="33"/>
      <c r="H161" s="39">
        <f t="shared" si="20"/>
        <v>0</v>
      </c>
    </row>
    <row r="162" ht="15.0" customHeight="1">
      <c r="A162" s="35" t="s">
        <v>226</v>
      </c>
      <c r="B162" s="36" t="s">
        <v>175</v>
      </c>
      <c r="C162" s="37">
        <v>24.0</v>
      </c>
      <c r="D162" s="30" t="s">
        <v>216</v>
      </c>
      <c r="E162" s="38">
        <v>0.85</v>
      </c>
      <c r="F162" s="32">
        <v>20.4</v>
      </c>
      <c r="G162" s="33"/>
      <c r="H162" s="39">
        <f t="shared" si="20"/>
        <v>0</v>
      </c>
    </row>
    <row r="163" ht="15.0" customHeight="1">
      <c r="A163" s="35" t="s">
        <v>227</v>
      </c>
      <c r="B163" s="36" t="s">
        <v>175</v>
      </c>
      <c r="C163" s="37">
        <v>24.0</v>
      </c>
      <c r="D163" s="30" t="s">
        <v>216</v>
      </c>
      <c r="E163" s="38">
        <v>0.85</v>
      </c>
      <c r="F163" s="32">
        <v>20.4</v>
      </c>
      <c r="G163" s="33"/>
      <c r="H163" s="39">
        <f t="shared" si="20"/>
        <v>0</v>
      </c>
    </row>
    <row r="164" ht="15.0" customHeight="1">
      <c r="A164" s="35" t="s">
        <v>228</v>
      </c>
      <c r="B164" s="36" t="s">
        <v>175</v>
      </c>
      <c r="C164" s="37">
        <v>24.0</v>
      </c>
      <c r="D164" s="30" t="s">
        <v>216</v>
      </c>
      <c r="E164" s="38">
        <v>0.9</v>
      </c>
      <c r="F164" s="32">
        <v>21.6</v>
      </c>
      <c r="G164" s="33"/>
      <c r="H164" s="39">
        <f t="shared" si="20"/>
        <v>0</v>
      </c>
    </row>
    <row r="165" ht="15.0" customHeight="1">
      <c r="A165" s="35" t="s">
        <v>229</v>
      </c>
      <c r="B165" s="36" t="s">
        <v>175</v>
      </c>
      <c r="C165" s="37">
        <v>24.0</v>
      </c>
      <c r="D165" s="30" t="s">
        <v>216</v>
      </c>
      <c r="E165" s="38">
        <v>0.9</v>
      </c>
      <c r="F165" s="32">
        <v>21.6</v>
      </c>
      <c r="G165" s="33"/>
      <c r="H165" s="39">
        <f t="shared" si="20"/>
        <v>0</v>
      </c>
    </row>
    <row r="166" ht="15.0" customHeight="1">
      <c r="A166" s="35" t="s">
        <v>230</v>
      </c>
      <c r="B166" s="36" t="s">
        <v>175</v>
      </c>
      <c r="C166" s="37">
        <v>24.0</v>
      </c>
      <c r="D166" s="30" t="s">
        <v>216</v>
      </c>
      <c r="E166" s="38">
        <v>0.9</v>
      </c>
      <c r="F166" s="32">
        <v>21.6</v>
      </c>
      <c r="G166" s="33"/>
      <c r="H166" s="39">
        <f t="shared" si="20"/>
        <v>0</v>
      </c>
    </row>
    <row r="167" ht="15.0" customHeight="1">
      <c r="A167" s="27" t="s">
        <v>231</v>
      </c>
      <c r="B167" s="28"/>
      <c r="C167" s="29"/>
      <c r="D167" s="30"/>
      <c r="E167" s="31"/>
      <c r="F167" s="32"/>
      <c r="G167" s="33"/>
      <c r="H167" s="39"/>
    </row>
    <row r="168" ht="15.0" customHeight="1">
      <c r="A168" s="73" t="s">
        <v>232</v>
      </c>
      <c r="B168" s="74" t="s">
        <v>13</v>
      </c>
      <c r="C168" s="75">
        <v>24.0</v>
      </c>
      <c r="D168" s="76">
        <v>9.001400110871E12</v>
      </c>
      <c r="E168" s="77">
        <f t="shared" ref="E168:E171" si="21">0.95</f>
        <v>0.95</v>
      </c>
      <c r="F168" s="78">
        <v>22.8</v>
      </c>
      <c r="G168" s="33"/>
      <c r="H168" s="39">
        <f t="shared" ref="H168:H171" si="22">G168*F168</f>
        <v>0</v>
      </c>
    </row>
    <row r="169" ht="15.0" customHeight="1">
      <c r="A169" s="73" t="s">
        <v>233</v>
      </c>
      <c r="B169" s="79" t="s">
        <v>13</v>
      </c>
      <c r="C169" s="80">
        <v>24.0</v>
      </c>
      <c r="D169" s="81">
        <v>9.00140011084E12</v>
      </c>
      <c r="E169" s="77">
        <f t="shared" si="21"/>
        <v>0.95</v>
      </c>
      <c r="F169" s="78">
        <v>22.8</v>
      </c>
      <c r="G169" s="33"/>
      <c r="H169" s="39">
        <f t="shared" si="22"/>
        <v>0</v>
      </c>
    </row>
    <row r="170" ht="15.0" customHeight="1">
      <c r="A170" s="73" t="s">
        <v>234</v>
      </c>
      <c r="B170" s="79" t="s">
        <v>13</v>
      </c>
      <c r="C170" s="80">
        <v>24.0</v>
      </c>
      <c r="D170" s="81">
        <v>9.001400110901E12</v>
      </c>
      <c r="E170" s="77">
        <f t="shared" si="21"/>
        <v>0.95</v>
      </c>
      <c r="F170" s="78">
        <v>22.8</v>
      </c>
      <c r="G170" s="33"/>
      <c r="H170" s="39">
        <f t="shared" si="22"/>
        <v>0</v>
      </c>
    </row>
    <row r="171" ht="15.0" customHeight="1">
      <c r="A171" s="73" t="s">
        <v>235</v>
      </c>
      <c r="B171" s="74" t="s">
        <v>13</v>
      </c>
      <c r="C171" s="75">
        <v>24.0</v>
      </c>
      <c r="D171" s="76">
        <v>9.001400110932E12</v>
      </c>
      <c r="E171" s="77">
        <f t="shared" si="21"/>
        <v>0.95</v>
      </c>
      <c r="F171" s="78">
        <v>22.8</v>
      </c>
      <c r="G171" s="33"/>
      <c r="H171" s="39">
        <f t="shared" si="22"/>
        <v>0</v>
      </c>
    </row>
    <row r="172" ht="15.0" customHeight="1">
      <c r="A172" s="27" t="s">
        <v>236</v>
      </c>
      <c r="B172" s="28"/>
      <c r="C172" s="29"/>
      <c r="D172" s="30"/>
      <c r="E172" s="31"/>
      <c r="F172" s="32"/>
      <c r="G172" s="33"/>
      <c r="H172" s="39"/>
    </row>
    <row r="173" ht="15.0" customHeight="1">
      <c r="A173" s="35" t="s">
        <v>237</v>
      </c>
      <c r="B173" s="36" t="s">
        <v>238</v>
      </c>
      <c r="C173" s="37">
        <v>24.0</v>
      </c>
      <c r="D173" s="30">
        <v>8.85038911126E12</v>
      </c>
      <c r="E173" s="38">
        <v>0.9</v>
      </c>
      <c r="F173" s="32">
        <v>21.6</v>
      </c>
      <c r="G173" s="33"/>
      <c r="H173" s="39">
        <f t="shared" ref="H173:H189" si="23">G173*F173</f>
        <v>0</v>
      </c>
    </row>
    <row r="174" ht="15.0" customHeight="1">
      <c r="A174" s="35" t="s">
        <v>239</v>
      </c>
      <c r="B174" s="36" t="s">
        <v>238</v>
      </c>
      <c r="C174" s="37">
        <v>24.0</v>
      </c>
      <c r="D174" s="30">
        <v>8.85038911887E12</v>
      </c>
      <c r="E174" s="38">
        <v>0.9</v>
      </c>
      <c r="F174" s="32">
        <v>21.6</v>
      </c>
      <c r="G174" s="33"/>
      <c r="H174" s="39">
        <f t="shared" si="23"/>
        <v>0</v>
      </c>
    </row>
    <row r="175" ht="15.0" customHeight="1">
      <c r="A175" s="35" t="s">
        <v>240</v>
      </c>
      <c r="B175" s="36" t="s">
        <v>238</v>
      </c>
      <c r="C175" s="37">
        <v>24.0</v>
      </c>
      <c r="D175" s="30">
        <v>8.850389118856E12</v>
      </c>
      <c r="E175" s="38">
        <v>0.9</v>
      </c>
      <c r="F175" s="32">
        <v>21.6</v>
      </c>
      <c r="G175" s="33"/>
      <c r="H175" s="39">
        <f t="shared" si="23"/>
        <v>0</v>
      </c>
    </row>
    <row r="176" ht="15.0" customHeight="1">
      <c r="A176" s="35" t="s">
        <v>241</v>
      </c>
      <c r="B176" s="36" t="s">
        <v>238</v>
      </c>
      <c r="C176" s="37">
        <v>24.0</v>
      </c>
      <c r="D176" s="30">
        <v>8.850389115367E12</v>
      </c>
      <c r="E176" s="38">
        <v>0.9</v>
      </c>
      <c r="F176" s="32">
        <v>21.6</v>
      </c>
      <c r="G176" s="33"/>
      <c r="H176" s="39">
        <f t="shared" si="23"/>
        <v>0</v>
      </c>
    </row>
    <row r="177" ht="15.0" customHeight="1">
      <c r="A177" s="35" t="s">
        <v>242</v>
      </c>
      <c r="B177" s="36" t="s">
        <v>238</v>
      </c>
      <c r="C177" s="37">
        <v>24.0</v>
      </c>
      <c r="D177" s="30">
        <v>8.850389106273E12</v>
      </c>
      <c r="E177" s="38">
        <v>0.9</v>
      </c>
      <c r="F177" s="32">
        <v>21.6</v>
      </c>
      <c r="G177" s="33"/>
      <c r="H177" s="39">
        <f t="shared" si="23"/>
        <v>0</v>
      </c>
    </row>
    <row r="178" ht="15.0" customHeight="1">
      <c r="A178" s="35" t="s">
        <v>243</v>
      </c>
      <c r="B178" s="36" t="s">
        <v>238</v>
      </c>
      <c r="C178" s="37">
        <v>24.0</v>
      </c>
      <c r="D178" s="30">
        <v>8.850389113219E12</v>
      </c>
      <c r="E178" s="38">
        <v>0.9</v>
      </c>
      <c r="F178" s="32">
        <v>21.6</v>
      </c>
      <c r="G178" s="33"/>
      <c r="H178" s="39">
        <f t="shared" si="23"/>
        <v>0</v>
      </c>
    </row>
    <row r="179" ht="15.0" customHeight="1">
      <c r="A179" s="35" t="s">
        <v>244</v>
      </c>
      <c r="B179" s="36" t="s">
        <v>238</v>
      </c>
      <c r="C179" s="37">
        <v>24.0</v>
      </c>
      <c r="D179" s="30">
        <v>8.850389116487E12</v>
      </c>
      <c r="E179" s="38">
        <v>0.9</v>
      </c>
      <c r="F179" s="32">
        <v>21.6</v>
      </c>
      <c r="G179" s="33"/>
      <c r="H179" s="39">
        <f t="shared" si="23"/>
        <v>0</v>
      </c>
    </row>
    <row r="180" ht="15.0" customHeight="1">
      <c r="A180" s="35" t="s">
        <v>245</v>
      </c>
      <c r="B180" s="36" t="s">
        <v>238</v>
      </c>
      <c r="C180" s="37">
        <v>24.0</v>
      </c>
      <c r="D180" s="30">
        <v>8.850389111376E12</v>
      </c>
      <c r="E180" s="38">
        <v>0.9</v>
      </c>
      <c r="F180" s="32">
        <v>21.6</v>
      </c>
      <c r="G180" s="33"/>
      <c r="H180" s="39">
        <f t="shared" si="23"/>
        <v>0</v>
      </c>
    </row>
    <row r="181" ht="15.0" customHeight="1">
      <c r="A181" s="35" t="s">
        <v>246</v>
      </c>
      <c r="B181" s="36" t="s">
        <v>238</v>
      </c>
      <c r="C181" s="37">
        <v>24.0</v>
      </c>
      <c r="D181" s="30">
        <v>8.850389100684E12</v>
      </c>
      <c r="E181" s="38">
        <v>0.9</v>
      </c>
      <c r="F181" s="32">
        <v>21.6</v>
      </c>
      <c r="G181" s="33"/>
      <c r="H181" s="39">
        <f t="shared" si="23"/>
        <v>0</v>
      </c>
    </row>
    <row r="182" ht="15.0" customHeight="1">
      <c r="A182" s="35" t="s">
        <v>247</v>
      </c>
      <c r="B182" s="36" t="s">
        <v>238</v>
      </c>
      <c r="C182" s="37">
        <v>24.0</v>
      </c>
      <c r="D182" s="30">
        <v>8.850389111253E12</v>
      </c>
      <c r="E182" s="38">
        <v>0.9</v>
      </c>
      <c r="F182" s="32">
        <v>21.6</v>
      </c>
      <c r="G182" s="33"/>
      <c r="H182" s="39">
        <f t="shared" si="23"/>
        <v>0</v>
      </c>
    </row>
    <row r="183" ht="15.0" customHeight="1">
      <c r="A183" s="35" t="s">
        <v>248</v>
      </c>
      <c r="B183" s="36" t="s">
        <v>238</v>
      </c>
      <c r="C183" s="37">
        <v>24.0</v>
      </c>
      <c r="D183" s="30">
        <v>8.850389111352E12</v>
      </c>
      <c r="E183" s="38">
        <v>0.9</v>
      </c>
      <c r="F183" s="32">
        <v>21.6</v>
      </c>
      <c r="G183" s="33"/>
      <c r="H183" s="39">
        <f t="shared" si="23"/>
        <v>0</v>
      </c>
    </row>
    <row r="184" ht="15.0" customHeight="1">
      <c r="A184" s="35" t="s">
        <v>249</v>
      </c>
      <c r="B184" s="36" t="s">
        <v>238</v>
      </c>
      <c r="C184" s="37">
        <v>24.0</v>
      </c>
      <c r="D184" s="30">
        <v>8.850389113646E12</v>
      </c>
      <c r="E184" s="38">
        <v>0.9</v>
      </c>
      <c r="F184" s="32">
        <v>21.6</v>
      </c>
      <c r="G184" s="33"/>
      <c r="H184" s="39">
        <f t="shared" si="23"/>
        <v>0</v>
      </c>
    </row>
    <row r="185" ht="15.0" customHeight="1">
      <c r="A185" s="35" t="s">
        <v>250</v>
      </c>
      <c r="B185" s="36" t="s">
        <v>238</v>
      </c>
      <c r="C185" s="37">
        <v>24.0</v>
      </c>
      <c r="D185" s="30">
        <v>8.850389117095E12</v>
      </c>
      <c r="E185" s="38">
        <v>0.9</v>
      </c>
      <c r="F185" s="32">
        <v>21.6</v>
      </c>
      <c r="G185" s="33"/>
      <c r="H185" s="39">
        <f t="shared" si="23"/>
        <v>0</v>
      </c>
    </row>
    <row r="186" ht="15.0" customHeight="1">
      <c r="A186" s="35" t="s">
        <v>251</v>
      </c>
      <c r="B186" s="36" t="s">
        <v>238</v>
      </c>
      <c r="C186" s="37">
        <v>24.0</v>
      </c>
      <c r="D186" s="30">
        <v>8.85038910628E12</v>
      </c>
      <c r="E186" s="38">
        <v>0.9</v>
      </c>
      <c r="F186" s="32">
        <v>21.6</v>
      </c>
      <c r="G186" s="33"/>
      <c r="H186" s="39">
        <f t="shared" si="23"/>
        <v>0</v>
      </c>
    </row>
    <row r="187" ht="15.0" customHeight="1">
      <c r="A187" s="35" t="s">
        <v>252</v>
      </c>
      <c r="B187" s="36" t="s">
        <v>238</v>
      </c>
      <c r="C187" s="37">
        <v>24.0</v>
      </c>
      <c r="D187" s="30">
        <v>8.850389113486E12</v>
      </c>
      <c r="E187" s="38">
        <v>0.9</v>
      </c>
      <c r="F187" s="32">
        <v>21.6</v>
      </c>
      <c r="G187" s="33"/>
      <c r="H187" s="39">
        <f t="shared" si="23"/>
        <v>0</v>
      </c>
    </row>
    <row r="188" ht="15.0" customHeight="1">
      <c r="A188" s="35" t="s">
        <v>253</v>
      </c>
      <c r="B188" s="36" t="s">
        <v>238</v>
      </c>
      <c r="C188" s="37">
        <v>24.0</v>
      </c>
      <c r="D188" s="30">
        <v>8.85038911098E12</v>
      </c>
      <c r="E188" s="38">
        <v>0.9</v>
      </c>
      <c r="F188" s="32">
        <v>21.6</v>
      </c>
      <c r="G188" s="33"/>
      <c r="H188" s="39">
        <f t="shared" si="23"/>
        <v>0</v>
      </c>
    </row>
    <row r="189" ht="15.0" customHeight="1">
      <c r="A189" s="35" t="s">
        <v>254</v>
      </c>
      <c r="B189" s="36" t="s">
        <v>238</v>
      </c>
      <c r="C189" s="37">
        <v>24.0</v>
      </c>
      <c r="D189" s="30">
        <v>8.850389109229E12</v>
      </c>
      <c r="E189" s="38">
        <v>0.9</v>
      </c>
      <c r="F189" s="32">
        <v>21.6</v>
      </c>
      <c r="G189" s="33"/>
      <c r="H189" s="39">
        <f t="shared" si="23"/>
        <v>0</v>
      </c>
    </row>
    <row r="190" ht="15.0" customHeight="1">
      <c r="A190" s="27" t="s">
        <v>255</v>
      </c>
      <c r="B190" s="28"/>
      <c r="C190" s="29"/>
      <c r="D190" s="30"/>
      <c r="E190" s="31"/>
      <c r="F190" s="32"/>
      <c r="G190" s="33"/>
      <c r="H190" s="39"/>
    </row>
    <row r="191" ht="15.0" customHeight="1">
      <c r="A191" s="35" t="s">
        <v>256</v>
      </c>
      <c r="B191" s="36" t="s">
        <v>68</v>
      </c>
      <c r="C191" s="37">
        <v>24.0</v>
      </c>
      <c r="D191" s="30">
        <v>8.50035248034E11</v>
      </c>
      <c r="E191" s="38">
        <v>1.05</v>
      </c>
      <c r="F191" s="32">
        <v>25.2</v>
      </c>
      <c r="G191" s="33"/>
      <c r="H191" s="39">
        <f t="shared" ref="H191:H195" si="24">G191*F191</f>
        <v>0</v>
      </c>
    </row>
    <row r="192" ht="15.0" customHeight="1">
      <c r="A192" s="35" t="s">
        <v>257</v>
      </c>
      <c r="B192" s="36" t="s">
        <v>68</v>
      </c>
      <c r="C192" s="37">
        <v>24.0</v>
      </c>
      <c r="D192" s="30">
        <v>8.5003524801E11</v>
      </c>
      <c r="E192" s="38">
        <v>1.05</v>
      </c>
      <c r="F192" s="32">
        <v>25.2</v>
      </c>
      <c r="G192" s="33"/>
      <c r="H192" s="39">
        <f t="shared" si="24"/>
        <v>0</v>
      </c>
    </row>
    <row r="193" ht="15.0" customHeight="1">
      <c r="A193" s="35" t="s">
        <v>258</v>
      </c>
      <c r="B193" s="36" t="s">
        <v>68</v>
      </c>
      <c r="C193" s="37">
        <v>24.0</v>
      </c>
      <c r="D193" s="30">
        <v>8.50035248003E11</v>
      </c>
      <c r="E193" s="38">
        <v>1.05</v>
      </c>
      <c r="F193" s="32">
        <v>25.2</v>
      </c>
      <c r="G193" s="33"/>
      <c r="H193" s="39">
        <f t="shared" si="24"/>
        <v>0</v>
      </c>
    </row>
    <row r="194" ht="15.0" customHeight="1">
      <c r="A194" s="35" t="s">
        <v>259</v>
      </c>
      <c r="B194" s="36" t="s">
        <v>68</v>
      </c>
      <c r="C194" s="37">
        <v>24.0</v>
      </c>
      <c r="D194" s="30">
        <v>8.5003524872E11</v>
      </c>
      <c r="E194" s="38">
        <v>1.05</v>
      </c>
      <c r="F194" s="32">
        <v>25.2</v>
      </c>
      <c r="G194" s="33"/>
      <c r="H194" s="39">
        <f t="shared" si="24"/>
        <v>0</v>
      </c>
    </row>
    <row r="195" ht="15.0" customHeight="1">
      <c r="A195" s="35" t="s">
        <v>260</v>
      </c>
      <c r="B195" s="36" t="s">
        <v>68</v>
      </c>
      <c r="C195" s="37">
        <v>24.0</v>
      </c>
      <c r="D195" s="30">
        <v>8.50035248041E11</v>
      </c>
      <c r="E195" s="38">
        <v>1.05</v>
      </c>
      <c r="F195" s="32">
        <v>25.2</v>
      </c>
      <c r="G195" s="33"/>
      <c r="H195" s="39">
        <f t="shared" si="24"/>
        <v>0</v>
      </c>
    </row>
    <row r="196" ht="15.0" customHeight="1">
      <c r="A196" s="27" t="s">
        <v>261</v>
      </c>
      <c r="B196" s="28"/>
      <c r="C196" s="29"/>
      <c r="D196" s="30"/>
      <c r="E196" s="31"/>
      <c r="F196" s="32"/>
      <c r="G196" s="33"/>
      <c r="H196" s="39"/>
    </row>
    <row r="197" ht="15.0" customHeight="1">
      <c r="A197" s="35" t="s">
        <v>262</v>
      </c>
      <c r="B197" s="36" t="s">
        <v>132</v>
      </c>
      <c r="C197" s="37">
        <v>24.0</v>
      </c>
      <c r="D197" s="30">
        <v>4.712966543496E12</v>
      </c>
      <c r="E197" s="38">
        <v>1.3</v>
      </c>
      <c r="F197" s="32">
        <v>31.2</v>
      </c>
      <c r="G197" s="33"/>
      <c r="H197" s="39">
        <f t="shared" ref="H197:H201" si="25">G197*F197</f>
        <v>0</v>
      </c>
    </row>
    <row r="198" ht="15.0" customHeight="1">
      <c r="A198" s="35" t="s">
        <v>263</v>
      </c>
      <c r="B198" s="36" t="s">
        <v>132</v>
      </c>
      <c r="C198" s="37">
        <v>24.0</v>
      </c>
      <c r="D198" s="30">
        <v>4.712966543489E12</v>
      </c>
      <c r="E198" s="38">
        <v>1.3</v>
      </c>
      <c r="F198" s="32">
        <v>31.2</v>
      </c>
      <c r="G198" s="33"/>
      <c r="H198" s="39">
        <f t="shared" si="25"/>
        <v>0</v>
      </c>
    </row>
    <row r="199" ht="15.0" customHeight="1">
      <c r="A199" s="35" t="s">
        <v>264</v>
      </c>
      <c r="B199" s="36" t="s">
        <v>132</v>
      </c>
      <c r="C199" s="37">
        <v>24.0</v>
      </c>
      <c r="D199" s="30">
        <v>4.712966543502E12</v>
      </c>
      <c r="E199" s="38">
        <v>1.3</v>
      </c>
      <c r="F199" s="32">
        <v>31.2</v>
      </c>
      <c r="G199" s="33"/>
      <c r="H199" s="39">
        <f t="shared" si="25"/>
        <v>0</v>
      </c>
    </row>
    <row r="200" ht="15.0" customHeight="1">
      <c r="A200" s="35" t="s">
        <v>265</v>
      </c>
      <c r="B200" s="36" t="s">
        <v>132</v>
      </c>
      <c r="C200" s="37">
        <v>24.0</v>
      </c>
      <c r="D200" s="30">
        <v>4.712966543519E12</v>
      </c>
      <c r="E200" s="38">
        <v>1.3</v>
      </c>
      <c r="F200" s="32">
        <v>31.2</v>
      </c>
      <c r="G200" s="33"/>
      <c r="H200" s="39">
        <f t="shared" si="25"/>
        <v>0</v>
      </c>
    </row>
    <row r="201" ht="15.0" customHeight="1">
      <c r="A201" s="35" t="s">
        <v>266</v>
      </c>
      <c r="B201" s="36" t="s">
        <v>132</v>
      </c>
      <c r="C201" s="37">
        <v>24.0</v>
      </c>
      <c r="D201" s="30">
        <v>4.712966543526E12</v>
      </c>
      <c r="E201" s="38">
        <v>1.3</v>
      </c>
      <c r="F201" s="32">
        <v>31.2</v>
      </c>
      <c r="G201" s="33"/>
      <c r="H201" s="39">
        <f t="shared" si="25"/>
        <v>0</v>
      </c>
    </row>
    <row r="202" ht="15.0" customHeight="1">
      <c r="A202" s="27" t="s">
        <v>267</v>
      </c>
      <c r="B202" s="28"/>
      <c r="C202" s="29"/>
      <c r="D202" s="30"/>
      <c r="E202" s="31"/>
      <c r="F202" s="32"/>
      <c r="G202" s="33"/>
      <c r="H202" s="39"/>
    </row>
    <row r="203" ht="15.0" customHeight="1">
      <c r="A203" s="35" t="s">
        <v>268</v>
      </c>
      <c r="B203" s="36" t="s">
        <v>175</v>
      </c>
      <c r="C203" s="37">
        <v>30.0</v>
      </c>
      <c r="D203" s="30">
        <v>4.902494008004E12</v>
      </c>
      <c r="E203" s="38">
        <v>1.35</v>
      </c>
      <c r="F203" s="32">
        <v>40.5</v>
      </c>
      <c r="G203" s="33"/>
      <c r="H203" s="39">
        <f t="shared" ref="H203:H207" si="26">G203*F203</f>
        <v>0</v>
      </c>
    </row>
    <row r="204" ht="15.0" customHeight="1">
      <c r="A204" s="35" t="s">
        <v>269</v>
      </c>
      <c r="B204" s="36" t="s">
        <v>175</v>
      </c>
      <c r="C204" s="37">
        <v>30.0</v>
      </c>
      <c r="D204" s="30">
        <v>4.902494190334E12</v>
      </c>
      <c r="E204" s="38">
        <v>1.35</v>
      </c>
      <c r="F204" s="32">
        <v>40.5</v>
      </c>
      <c r="G204" s="33"/>
      <c r="H204" s="39">
        <f t="shared" si="26"/>
        <v>0</v>
      </c>
    </row>
    <row r="205" ht="15.0" customHeight="1">
      <c r="A205" s="35" t="s">
        <v>270</v>
      </c>
      <c r="B205" s="36" t="s">
        <v>175</v>
      </c>
      <c r="C205" s="37">
        <v>30.0</v>
      </c>
      <c r="D205" s="30">
        <v>4.902494090177E12</v>
      </c>
      <c r="E205" s="38">
        <v>1.35</v>
      </c>
      <c r="F205" s="32">
        <v>40.5</v>
      </c>
      <c r="G205" s="33"/>
      <c r="H205" s="39">
        <f t="shared" si="26"/>
        <v>0</v>
      </c>
    </row>
    <row r="206" ht="15.0" customHeight="1">
      <c r="A206" s="35" t="s">
        <v>271</v>
      </c>
      <c r="B206" s="36" t="s">
        <v>175</v>
      </c>
      <c r="C206" s="37">
        <v>30.0</v>
      </c>
      <c r="D206" s="30">
        <v>4.902494110042E12</v>
      </c>
      <c r="E206" s="38">
        <v>1.35</v>
      </c>
      <c r="F206" s="32">
        <v>40.5</v>
      </c>
      <c r="G206" s="33"/>
      <c r="H206" s="39">
        <f t="shared" si="26"/>
        <v>0</v>
      </c>
    </row>
    <row r="207" ht="15.0" customHeight="1">
      <c r="A207" s="35" t="s">
        <v>272</v>
      </c>
      <c r="B207" s="36" t="s">
        <v>175</v>
      </c>
      <c r="C207" s="37">
        <v>30.0</v>
      </c>
      <c r="D207" s="30">
        <v>4.902494180069E12</v>
      </c>
      <c r="E207" s="38">
        <v>1.35</v>
      </c>
      <c r="F207" s="32">
        <v>40.5</v>
      </c>
      <c r="G207" s="33"/>
      <c r="H207" s="39">
        <f t="shared" si="26"/>
        <v>0</v>
      </c>
    </row>
    <row r="208" ht="15.0" customHeight="1">
      <c r="A208" s="27" t="s">
        <v>273</v>
      </c>
      <c r="B208" s="28"/>
      <c r="C208" s="29"/>
      <c r="D208" s="30"/>
      <c r="E208" s="31"/>
      <c r="F208" s="32"/>
      <c r="G208" s="33"/>
      <c r="H208" s="39"/>
    </row>
    <row r="209" ht="15.0" customHeight="1">
      <c r="A209" s="49" t="s">
        <v>274</v>
      </c>
      <c r="B209" s="36" t="s">
        <v>19</v>
      </c>
      <c r="C209" s="82" t="s">
        <v>275</v>
      </c>
      <c r="D209" s="71">
        <v>4.902494240008E12</v>
      </c>
      <c r="E209" s="55">
        <v>1.35</v>
      </c>
      <c r="F209" s="59">
        <f t="shared" ref="F209:F211" si="27">E209*C209</f>
        <v>32.4</v>
      </c>
      <c r="G209" s="33"/>
      <c r="H209" s="39">
        <f t="shared" ref="H209:H212" si="28">G209*F209</f>
        <v>0</v>
      </c>
    </row>
    <row r="210" ht="15.0" customHeight="1">
      <c r="A210" s="49" t="s">
        <v>276</v>
      </c>
      <c r="B210" s="36" t="s">
        <v>19</v>
      </c>
      <c r="C210" s="82" t="s">
        <v>275</v>
      </c>
      <c r="D210" s="71">
        <v>4.902494200125E12</v>
      </c>
      <c r="E210" s="55">
        <v>1.35</v>
      </c>
      <c r="F210" s="59">
        <f t="shared" si="27"/>
        <v>32.4</v>
      </c>
      <c r="G210" s="33"/>
      <c r="H210" s="39">
        <f t="shared" si="28"/>
        <v>0</v>
      </c>
    </row>
    <row r="211" ht="15.0" customHeight="1">
      <c r="A211" s="49" t="s">
        <v>277</v>
      </c>
      <c r="B211" s="36" t="s">
        <v>19</v>
      </c>
      <c r="C211" s="82" t="s">
        <v>275</v>
      </c>
      <c r="D211" s="71">
        <v>4.902494240022E12</v>
      </c>
      <c r="E211" s="55">
        <v>1.35</v>
      </c>
      <c r="F211" s="59">
        <f t="shared" si="27"/>
        <v>32.4</v>
      </c>
      <c r="G211" s="33"/>
      <c r="H211" s="39">
        <f t="shared" si="28"/>
        <v>0</v>
      </c>
    </row>
    <row r="212" ht="15.0" customHeight="1">
      <c r="A212" s="49" t="s">
        <v>278</v>
      </c>
      <c r="B212" s="36" t="s">
        <v>19</v>
      </c>
      <c r="C212" s="83" t="s">
        <v>279</v>
      </c>
      <c r="D212" s="84">
        <v>4.902494210223E12</v>
      </c>
      <c r="E212" s="52">
        <v>1.35</v>
      </c>
      <c r="F212" s="85">
        <v>32.400000000000006</v>
      </c>
      <c r="G212" s="33"/>
      <c r="H212" s="39">
        <f t="shared" si="28"/>
        <v>0</v>
      </c>
    </row>
    <row r="213" ht="15.0" customHeight="1">
      <c r="A213" s="27" t="s">
        <v>280</v>
      </c>
      <c r="B213" s="28"/>
      <c r="C213" s="29"/>
      <c r="D213" s="30"/>
      <c r="E213" s="31"/>
      <c r="F213" s="32"/>
      <c r="G213" s="33"/>
      <c r="H213" s="39"/>
    </row>
    <row r="214" ht="15.0" customHeight="1">
      <c r="A214" s="35" t="s">
        <v>281</v>
      </c>
      <c r="B214" s="36" t="s">
        <v>132</v>
      </c>
      <c r="C214" s="37">
        <v>24.0</v>
      </c>
      <c r="D214" s="30">
        <v>3.700703700463E12</v>
      </c>
      <c r="E214" s="38">
        <v>0.65</v>
      </c>
      <c r="F214" s="32">
        <v>15.6</v>
      </c>
      <c r="G214" s="33"/>
      <c r="H214" s="39">
        <f t="shared" ref="H214:H225" si="29">G214*F214</f>
        <v>0</v>
      </c>
    </row>
    <row r="215" ht="15.0" customHeight="1">
      <c r="A215" s="35" t="s">
        <v>282</v>
      </c>
      <c r="B215" s="36" t="s">
        <v>132</v>
      </c>
      <c r="C215" s="37">
        <v>24.0</v>
      </c>
      <c r="D215" s="30">
        <v>3.70070370047E12</v>
      </c>
      <c r="E215" s="38">
        <v>0.65</v>
      </c>
      <c r="F215" s="32">
        <v>15.6</v>
      </c>
      <c r="G215" s="33"/>
      <c r="H215" s="39">
        <f t="shared" si="29"/>
        <v>0</v>
      </c>
    </row>
    <row r="216" ht="15.0" customHeight="1">
      <c r="A216" s="35" t="s">
        <v>283</v>
      </c>
      <c r="B216" s="36" t="s">
        <v>132</v>
      </c>
      <c r="C216" s="37">
        <v>24.0</v>
      </c>
      <c r="D216" s="30">
        <v>3.700703700043E12</v>
      </c>
      <c r="E216" s="38">
        <v>0.65</v>
      </c>
      <c r="F216" s="32">
        <v>15.6</v>
      </c>
      <c r="G216" s="33"/>
      <c r="H216" s="39">
        <f t="shared" si="29"/>
        <v>0</v>
      </c>
    </row>
    <row r="217" ht="15.0" customHeight="1">
      <c r="A217" s="35" t="s">
        <v>284</v>
      </c>
      <c r="B217" s="36" t="s">
        <v>132</v>
      </c>
      <c r="C217" s="37">
        <v>24.0</v>
      </c>
      <c r="D217" s="30">
        <v>3.700703700371E12</v>
      </c>
      <c r="E217" s="38">
        <v>0.65</v>
      </c>
      <c r="F217" s="32">
        <v>15.6</v>
      </c>
      <c r="G217" s="33"/>
      <c r="H217" s="39">
        <f t="shared" si="29"/>
        <v>0</v>
      </c>
    </row>
    <row r="218" ht="15.0" customHeight="1">
      <c r="A218" s="35" t="s">
        <v>285</v>
      </c>
      <c r="B218" s="36" t="s">
        <v>132</v>
      </c>
      <c r="C218" s="37">
        <v>24.0</v>
      </c>
      <c r="D218" s="30">
        <v>3.7007037005E12</v>
      </c>
      <c r="E218" s="38">
        <v>0.65</v>
      </c>
      <c r="F218" s="32">
        <v>15.6</v>
      </c>
      <c r="G218" s="33"/>
      <c r="H218" s="39">
        <f t="shared" si="29"/>
        <v>0</v>
      </c>
    </row>
    <row r="219" ht="15.0" customHeight="1">
      <c r="A219" s="35" t="s">
        <v>286</v>
      </c>
      <c r="B219" s="36" t="s">
        <v>132</v>
      </c>
      <c r="C219" s="37">
        <v>24.0</v>
      </c>
      <c r="D219" s="30">
        <v>3.700703700364E12</v>
      </c>
      <c r="E219" s="38">
        <v>0.65</v>
      </c>
      <c r="F219" s="32">
        <v>15.6</v>
      </c>
      <c r="G219" s="33"/>
      <c r="H219" s="39">
        <f t="shared" si="29"/>
        <v>0</v>
      </c>
    </row>
    <row r="220" ht="15.0" customHeight="1">
      <c r="A220" s="35" t="s">
        <v>287</v>
      </c>
      <c r="B220" s="36" t="s">
        <v>132</v>
      </c>
      <c r="C220" s="37">
        <v>24.0</v>
      </c>
      <c r="D220" s="30">
        <v>3.700703700487E12</v>
      </c>
      <c r="E220" s="38">
        <v>0.65</v>
      </c>
      <c r="F220" s="32">
        <v>15.6</v>
      </c>
      <c r="G220" s="33"/>
      <c r="H220" s="39">
        <f t="shared" si="29"/>
        <v>0</v>
      </c>
    </row>
    <row r="221" ht="15.0" customHeight="1">
      <c r="A221" s="35" t="s">
        <v>288</v>
      </c>
      <c r="B221" s="36" t="s">
        <v>132</v>
      </c>
      <c r="C221" s="37">
        <v>24.0</v>
      </c>
      <c r="D221" s="30">
        <v>3.700703700494E12</v>
      </c>
      <c r="E221" s="38">
        <v>0.65</v>
      </c>
      <c r="F221" s="32">
        <v>15.6</v>
      </c>
      <c r="G221" s="33"/>
      <c r="H221" s="39">
        <f t="shared" si="29"/>
        <v>0</v>
      </c>
    </row>
    <row r="222" ht="15.0" customHeight="1">
      <c r="A222" s="35" t="s">
        <v>289</v>
      </c>
      <c r="B222" s="36" t="s">
        <v>132</v>
      </c>
      <c r="C222" s="37">
        <v>24.0</v>
      </c>
      <c r="D222" s="30">
        <v>3.700703700869E12</v>
      </c>
      <c r="E222" s="38">
        <v>0.69</v>
      </c>
      <c r="F222" s="32">
        <v>16.56</v>
      </c>
      <c r="G222" s="33"/>
      <c r="H222" s="39">
        <f t="shared" si="29"/>
        <v>0</v>
      </c>
    </row>
    <row r="223" ht="15.0" customHeight="1">
      <c r="A223" s="35" t="s">
        <v>290</v>
      </c>
      <c r="B223" s="36" t="s">
        <v>132</v>
      </c>
      <c r="C223" s="37">
        <v>24.0</v>
      </c>
      <c r="D223" s="30">
        <v>3.700703700883E12</v>
      </c>
      <c r="E223" s="38">
        <v>0.69</v>
      </c>
      <c r="F223" s="32">
        <v>16.56</v>
      </c>
      <c r="G223" s="33"/>
      <c r="H223" s="39">
        <f t="shared" si="29"/>
        <v>0</v>
      </c>
    </row>
    <row r="224" ht="15.0" customHeight="1">
      <c r="A224" s="35" t="s">
        <v>291</v>
      </c>
      <c r="B224" s="36" t="s">
        <v>132</v>
      </c>
      <c r="C224" s="37">
        <v>24.0</v>
      </c>
      <c r="D224" s="30">
        <v>3.700703701583E12</v>
      </c>
      <c r="E224" s="38">
        <v>0.69</v>
      </c>
      <c r="F224" s="32">
        <v>16.56</v>
      </c>
      <c r="G224" s="33"/>
      <c r="H224" s="39">
        <f t="shared" si="29"/>
        <v>0</v>
      </c>
    </row>
    <row r="225" ht="15.0" customHeight="1">
      <c r="A225" s="35" t="s">
        <v>292</v>
      </c>
      <c r="B225" s="36" t="s">
        <v>132</v>
      </c>
      <c r="C225" s="37">
        <v>24.0</v>
      </c>
      <c r="D225" s="30">
        <v>3.70070370092E12</v>
      </c>
      <c r="E225" s="38">
        <v>0.69</v>
      </c>
      <c r="F225" s="32">
        <v>16.56</v>
      </c>
      <c r="G225" s="33"/>
      <c r="H225" s="39">
        <f t="shared" si="29"/>
        <v>0</v>
      </c>
    </row>
    <row r="226" ht="15.0" customHeight="1">
      <c r="A226" s="27" t="s">
        <v>293</v>
      </c>
      <c r="B226" s="28"/>
      <c r="C226" s="29"/>
      <c r="D226" s="30"/>
      <c r="E226" s="31"/>
      <c r="F226" s="32"/>
      <c r="G226" s="33"/>
      <c r="H226" s="39"/>
    </row>
    <row r="227" ht="15.0" customHeight="1">
      <c r="A227" s="35" t="s">
        <v>294</v>
      </c>
      <c r="B227" s="36" t="s">
        <v>295</v>
      </c>
      <c r="C227" s="37">
        <v>24.0</v>
      </c>
      <c r="D227" s="30" t="s">
        <v>296</v>
      </c>
      <c r="E227" s="38">
        <v>1.85</v>
      </c>
      <c r="F227" s="32">
        <v>44.4</v>
      </c>
      <c r="G227" s="33"/>
      <c r="H227" s="39">
        <f t="shared" ref="H227:H230" si="30">G227*F227</f>
        <v>0</v>
      </c>
    </row>
    <row r="228" ht="15.0" customHeight="1">
      <c r="A228" s="35" t="s">
        <v>297</v>
      </c>
      <c r="B228" s="36" t="s">
        <v>295</v>
      </c>
      <c r="C228" s="37">
        <v>24.0</v>
      </c>
      <c r="D228" s="30" t="s">
        <v>298</v>
      </c>
      <c r="E228" s="38">
        <v>1.85</v>
      </c>
      <c r="F228" s="32">
        <v>44.4</v>
      </c>
      <c r="G228" s="33"/>
      <c r="H228" s="39">
        <f t="shared" si="30"/>
        <v>0</v>
      </c>
    </row>
    <row r="229" ht="15.0" customHeight="1">
      <c r="A229" s="35" t="s">
        <v>299</v>
      </c>
      <c r="B229" s="36" t="s">
        <v>295</v>
      </c>
      <c r="C229" s="37">
        <v>24.0</v>
      </c>
      <c r="D229" s="30" t="s">
        <v>300</v>
      </c>
      <c r="E229" s="38">
        <v>1.85</v>
      </c>
      <c r="F229" s="32">
        <v>44.4</v>
      </c>
      <c r="G229" s="33"/>
      <c r="H229" s="39">
        <f t="shared" si="30"/>
        <v>0</v>
      </c>
    </row>
    <row r="230" ht="15.0" customHeight="1">
      <c r="A230" s="35" t="s">
        <v>301</v>
      </c>
      <c r="B230" s="36" t="s">
        <v>295</v>
      </c>
      <c r="C230" s="37">
        <v>24.0</v>
      </c>
      <c r="D230" s="30" t="s">
        <v>302</v>
      </c>
      <c r="E230" s="38">
        <v>1.85</v>
      </c>
      <c r="F230" s="32">
        <v>44.4</v>
      </c>
      <c r="G230" s="33"/>
      <c r="H230" s="39">
        <f t="shared" si="30"/>
        <v>0</v>
      </c>
    </row>
    <row r="231" ht="15.0" customHeight="1">
      <c r="A231" s="27" t="s">
        <v>303</v>
      </c>
      <c r="B231" s="28"/>
      <c r="C231" s="29"/>
      <c r="D231" s="30"/>
      <c r="E231" s="31"/>
      <c r="F231" s="32"/>
      <c r="G231" s="33"/>
      <c r="H231" s="39"/>
    </row>
    <row r="232" ht="15.0" customHeight="1">
      <c r="A232" s="35" t="s">
        <v>304</v>
      </c>
      <c r="B232" s="36" t="s">
        <v>19</v>
      </c>
      <c r="C232" s="37">
        <v>6.0</v>
      </c>
      <c r="D232" s="30" t="s">
        <v>305</v>
      </c>
      <c r="E232" s="38">
        <v>0.99</v>
      </c>
      <c r="F232" s="32">
        <v>5.94</v>
      </c>
      <c r="G232" s="33"/>
      <c r="H232" s="39">
        <f t="shared" ref="H232:H245" si="31">G232*F232</f>
        <v>0</v>
      </c>
    </row>
    <row r="233" ht="15.0" customHeight="1">
      <c r="A233" s="35" t="s">
        <v>306</v>
      </c>
      <c r="B233" s="36" t="s">
        <v>19</v>
      </c>
      <c r="C233" s="37">
        <v>6.0</v>
      </c>
      <c r="D233" s="30" t="s">
        <v>307</v>
      </c>
      <c r="E233" s="38">
        <v>0.99</v>
      </c>
      <c r="F233" s="32">
        <v>5.94</v>
      </c>
      <c r="G233" s="33"/>
      <c r="H233" s="39">
        <f t="shared" si="31"/>
        <v>0</v>
      </c>
    </row>
    <row r="234" ht="15.0" customHeight="1">
      <c r="A234" s="35" t="s">
        <v>308</v>
      </c>
      <c r="B234" s="36" t="s">
        <v>19</v>
      </c>
      <c r="C234" s="37">
        <v>6.0</v>
      </c>
      <c r="D234" s="30" t="s">
        <v>309</v>
      </c>
      <c r="E234" s="38">
        <v>0.99</v>
      </c>
      <c r="F234" s="32">
        <v>5.94</v>
      </c>
      <c r="G234" s="33"/>
      <c r="H234" s="39">
        <f t="shared" si="31"/>
        <v>0</v>
      </c>
    </row>
    <row r="235" ht="15.0" customHeight="1">
      <c r="A235" s="35" t="s">
        <v>310</v>
      </c>
      <c r="B235" s="36" t="s">
        <v>19</v>
      </c>
      <c r="C235" s="37">
        <v>6.0</v>
      </c>
      <c r="D235" s="30" t="s">
        <v>311</v>
      </c>
      <c r="E235" s="38">
        <v>0.99</v>
      </c>
      <c r="F235" s="32">
        <v>5.94</v>
      </c>
      <c r="G235" s="33"/>
      <c r="H235" s="39">
        <f t="shared" si="31"/>
        <v>0</v>
      </c>
    </row>
    <row r="236" ht="15.0" customHeight="1">
      <c r="A236" s="35" t="s">
        <v>312</v>
      </c>
      <c r="B236" s="36" t="s">
        <v>19</v>
      </c>
      <c r="C236" s="37">
        <v>6.0</v>
      </c>
      <c r="D236" s="30" t="s">
        <v>313</v>
      </c>
      <c r="E236" s="38">
        <v>0.99</v>
      </c>
      <c r="F236" s="32">
        <v>5.94</v>
      </c>
      <c r="G236" s="33"/>
      <c r="H236" s="39">
        <f t="shared" si="31"/>
        <v>0</v>
      </c>
    </row>
    <row r="237" ht="15.0" customHeight="1">
      <c r="A237" s="35" t="s">
        <v>314</v>
      </c>
      <c r="B237" s="36" t="s">
        <v>19</v>
      </c>
      <c r="C237" s="37">
        <v>6.0</v>
      </c>
      <c r="D237" s="30" t="s">
        <v>315</v>
      </c>
      <c r="E237" s="38">
        <v>0.99</v>
      </c>
      <c r="F237" s="32">
        <v>5.94</v>
      </c>
      <c r="G237" s="33"/>
      <c r="H237" s="39">
        <f t="shared" si="31"/>
        <v>0</v>
      </c>
    </row>
    <row r="238" ht="15.0" customHeight="1">
      <c r="A238" s="35" t="s">
        <v>316</v>
      </c>
      <c r="B238" s="36" t="s">
        <v>19</v>
      </c>
      <c r="C238" s="37">
        <v>6.0</v>
      </c>
      <c r="D238" s="30" t="s">
        <v>317</v>
      </c>
      <c r="E238" s="38">
        <v>0.99</v>
      </c>
      <c r="F238" s="32">
        <v>5.94</v>
      </c>
      <c r="G238" s="33"/>
      <c r="H238" s="39">
        <f t="shared" si="31"/>
        <v>0</v>
      </c>
    </row>
    <row r="239" ht="15.0" customHeight="1">
      <c r="A239" s="35" t="s">
        <v>318</v>
      </c>
      <c r="B239" s="36" t="s">
        <v>19</v>
      </c>
      <c r="C239" s="37">
        <v>6.0</v>
      </c>
      <c r="D239" s="30" t="s">
        <v>319</v>
      </c>
      <c r="E239" s="38">
        <v>0.99</v>
      </c>
      <c r="F239" s="32">
        <v>5.94</v>
      </c>
      <c r="G239" s="33"/>
      <c r="H239" s="39">
        <f t="shared" si="31"/>
        <v>0</v>
      </c>
    </row>
    <row r="240" ht="15.0" customHeight="1">
      <c r="A240" s="35" t="s">
        <v>320</v>
      </c>
      <c r="B240" s="36" t="s">
        <v>19</v>
      </c>
      <c r="C240" s="37">
        <v>6.0</v>
      </c>
      <c r="D240" s="30" t="s">
        <v>321</v>
      </c>
      <c r="E240" s="38">
        <v>0.99</v>
      </c>
      <c r="F240" s="32">
        <v>5.94</v>
      </c>
      <c r="G240" s="33"/>
      <c r="H240" s="39">
        <f t="shared" si="31"/>
        <v>0</v>
      </c>
    </row>
    <row r="241" ht="15.0" customHeight="1">
      <c r="A241" s="35" t="s">
        <v>322</v>
      </c>
      <c r="B241" s="36" t="s">
        <v>19</v>
      </c>
      <c r="C241" s="37">
        <v>6.0</v>
      </c>
      <c r="D241" s="30" t="s">
        <v>323</v>
      </c>
      <c r="E241" s="38">
        <v>0.99</v>
      </c>
      <c r="F241" s="32">
        <v>5.94</v>
      </c>
      <c r="G241" s="33"/>
      <c r="H241" s="39">
        <f t="shared" si="31"/>
        <v>0</v>
      </c>
    </row>
    <row r="242" ht="15.0" customHeight="1">
      <c r="A242" s="35" t="s">
        <v>324</v>
      </c>
      <c r="B242" s="36" t="s">
        <v>19</v>
      </c>
      <c r="C242" s="37">
        <v>6.0</v>
      </c>
      <c r="D242" s="30" t="s">
        <v>325</v>
      </c>
      <c r="E242" s="38">
        <v>0.99</v>
      </c>
      <c r="F242" s="32">
        <v>5.94</v>
      </c>
      <c r="G242" s="33"/>
      <c r="H242" s="39">
        <f t="shared" si="31"/>
        <v>0</v>
      </c>
    </row>
    <row r="243" ht="15.0" customHeight="1">
      <c r="A243" s="35" t="s">
        <v>326</v>
      </c>
      <c r="B243" s="36" t="s">
        <v>19</v>
      </c>
      <c r="C243" s="37">
        <v>6.0</v>
      </c>
      <c r="D243" s="30" t="s">
        <v>327</v>
      </c>
      <c r="E243" s="38">
        <v>0.99</v>
      </c>
      <c r="F243" s="32">
        <v>5.94</v>
      </c>
      <c r="G243" s="33"/>
      <c r="H243" s="39">
        <f t="shared" si="31"/>
        <v>0</v>
      </c>
    </row>
    <row r="244" ht="15.0" customHeight="1">
      <c r="A244" s="35" t="s">
        <v>328</v>
      </c>
      <c r="B244" s="36" t="s">
        <v>19</v>
      </c>
      <c r="C244" s="37">
        <v>6.0</v>
      </c>
      <c r="D244" s="30" t="s">
        <v>329</v>
      </c>
      <c r="E244" s="38">
        <v>0.99</v>
      </c>
      <c r="F244" s="32">
        <v>5.94</v>
      </c>
      <c r="G244" s="33"/>
      <c r="H244" s="39">
        <f t="shared" si="31"/>
        <v>0</v>
      </c>
    </row>
    <row r="245" ht="15.0" customHeight="1">
      <c r="A245" s="35" t="s">
        <v>330</v>
      </c>
      <c r="B245" s="36" t="s">
        <v>19</v>
      </c>
      <c r="C245" s="37">
        <v>6.0</v>
      </c>
      <c r="D245" s="30" t="s">
        <v>331</v>
      </c>
      <c r="E245" s="38">
        <v>0.99</v>
      </c>
      <c r="F245" s="32">
        <v>5.94</v>
      </c>
      <c r="G245" s="33"/>
      <c r="H245" s="39">
        <f t="shared" si="31"/>
        <v>0</v>
      </c>
    </row>
    <row r="246" ht="15.0" customHeight="1">
      <c r="A246" s="27" t="s">
        <v>332</v>
      </c>
      <c r="B246" s="28"/>
      <c r="C246" s="29"/>
      <c r="D246" s="30"/>
      <c r="E246" s="31"/>
      <c r="F246" s="32"/>
      <c r="G246" s="33"/>
      <c r="H246" s="39"/>
    </row>
    <row r="247" ht="15.0" customHeight="1">
      <c r="A247" s="35" t="s">
        <v>333</v>
      </c>
      <c r="B247" s="36" t="s">
        <v>175</v>
      </c>
      <c r="C247" s="86">
        <v>40.0</v>
      </c>
      <c r="D247" s="87" t="s">
        <v>334</v>
      </c>
      <c r="E247" s="88">
        <v>0.37</v>
      </c>
      <c r="F247" s="53">
        <v>14.6</v>
      </c>
      <c r="G247" s="33"/>
      <c r="H247" s="39">
        <f t="shared" ref="H247:H261" si="32">G247*F247</f>
        <v>0</v>
      </c>
    </row>
    <row r="248" ht="15.0" customHeight="1">
      <c r="A248" s="35" t="s">
        <v>335</v>
      </c>
      <c r="B248" s="36" t="s">
        <v>175</v>
      </c>
      <c r="C248" s="37">
        <v>40.0</v>
      </c>
      <c r="D248" s="30" t="s">
        <v>336</v>
      </c>
      <c r="E248" s="38">
        <v>0.365</v>
      </c>
      <c r="F248" s="32">
        <v>14.6</v>
      </c>
      <c r="G248" s="33"/>
      <c r="H248" s="39">
        <f t="shared" si="32"/>
        <v>0</v>
      </c>
    </row>
    <row r="249" ht="15.0" customHeight="1">
      <c r="A249" s="35" t="s">
        <v>337</v>
      </c>
      <c r="B249" s="36" t="s">
        <v>175</v>
      </c>
      <c r="C249" s="37">
        <v>40.0</v>
      </c>
      <c r="D249" s="30" t="s">
        <v>338</v>
      </c>
      <c r="E249" s="38">
        <v>0.365</v>
      </c>
      <c r="F249" s="32">
        <v>14.6</v>
      </c>
      <c r="G249" s="33"/>
      <c r="H249" s="39">
        <f t="shared" si="32"/>
        <v>0</v>
      </c>
    </row>
    <row r="250" ht="15.0" customHeight="1">
      <c r="A250" s="35" t="s">
        <v>339</v>
      </c>
      <c r="B250" s="36" t="s">
        <v>175</v>
      </c>
      <c r="C250" s="37">
        <v>40.0</v>
      </c>
      <c r="D250" s="30" t="s">
        <v>340</v>
      </c>
      <c r="E250" s="38">
        <v>0.365</v>
      </c>
      <c r="F250" s="32">
        <v>14.6</v>
      </c>
      <c r="G250" s="33"/>
      <c r="H250" s="39">
        <f t="shared" si="32"/>
        <v>0</v>
      </c>
    </row>
    <row r="251" ht="15.0" customHeight="1">
      <c r="A251" s="35" t="s">
        <v>341</v>
      </c>
      <c r="B251" s="36" t="s">
        <v>175</v>
      </c>
      <c r="C251" s="37">
        <v>40.0</v>
      </c>
      <c r="D251" s="30" t="s">
        <v>342</v>
      </c>
      <c r="E251" s="38">
        <v>0.365</v>
      </c>
      <c r="F251" s="32">
        <v>14.6</v>
      </c>
      <c r="G251" s="33"/>
      <c r="H251" s="39">
        <f t="shared" si="32"/>
        <v>0</v>
      </c>
    </row>
    <row r="252" ht="15.0" customHeight="1">
      <c r="A252" s="35" t="s">
        <v>343</v>
      </c>
      <c r="B252" s="36" t="s">
        <v>175</v>
      </c>
      <c r="C252" s="37">
        <v>40.0</v>
      </c>
      <c r="D252" s="30" t="s">
        <v>344</v>
      </c>
      <c r="E252" s="38">
        <v>0.365</v>
      </c>
      <c r="F252" s="32">
        <v>14.6</v>
      </c>
      <c r="G252" s="33"/>
      <c r="H252" s="39">
        <f t="shared" si="32"/>
        <v>0</v>
      </c>
    </row>
    <row r="253" ht="15.0" customHeight="1">
      <c r="A253" s="35" t="s">
        <v>345</v>
      </c>
      <c r="B253" s="36" t="s">
        <v>175</v>
      </c>
      <c r="C253" s="37">
        <v>40.0</v>
      </c>
      <c r="D253" s="30" t="s">
        <v>346</v>
      </c>
      <c r="E253" s="38">
        <v>0.365</v>
      </c>
      <c r="F253" s="32">
        <v>14.6</v>
      </c>
      <c r="G253" s="33"/>
      <c r="H253" s="39">
        <f t="shared" si="32"/>
        <v>0</v>
      </c>
    </row>
    <row r="254" ht="15.0" customHeight="1">
      <c r="A254" s="35" t="s">
        <v>347</v>
      </c>
      <c r="B254" s="36" t="s">
        <v>175</v>
      </c>
      <c r="C254" s="37">
        <v>40.0</v>
      </c>
      <c r="D254" s="30" t="s">
        <v>348</v>
      </c>
      <c r="E254" s="38">
        <v>0.365</v>
      </c>
      <c r="F254" s="32">
        <v>14.6</v>
      </c>
      <c r="G254" s="33"/>
      <c r="H254" s="39">
        <f t="shared" si="32"/>
        <v>0</v>
      </c>
    </row>
    <row r="255" ht="15.0" customHeight="1">
      <c r="A255" s="35" t="s">
        <v>349</v>
      </c>
      <c r="B255" s="36" t="s">
        <v>175</v>
      </c>
      <c r="C255" s="37">
        <v>40.0</v>
      </c>
      <c r="D255" s="30" t="s">
        <v>350</v>
      </c>
      <c r="E255" s="38">
        <v>0.365</v>
      </c>
      <c r="F255" s="32">
        <v>14.6</v>
      </c>
      <c r="G255" s="33"/>
      <c r="H255" s="39">
        <f t="shared" si="32"/>
        <v>0</v>
      </c>
    </row>
    <row r="256" ht="15.0" customHeight="1">
      <c r="A256" s="35" t="s">
        <v>351</v>
      </c>
      <c r="B256" s="36" t="s">
        <v>175</v>
      </c>
      <c r="C256" s="37">
        <v>40.0</v>
      </c>
      <c r="D256" s="30" t="s">
        <v>352</v>
      </c>
      <c r="E256" s="38">
        <v>0.365</v>
      </c>
      <c r="F256" s="32">
        <v>14.6</v>
      </c>
      <c r="G256" s="33"/>
      <c r="H256" s="39">
        <f t="shared" si="32"/>
        <v>0</v>
      </c>
    </row>
    <row r="257" ht="15.0" customHeight="1">
      <c r="A257" s="35" t="s">
        <v>353</v>
      </c>
      <c r="B257" s="36" t="s">
        <v>175</v>
      </c>
      <c r="C257" s="37">
        <v>40.0</v>
      </c>
      <c r="D257" s="30" t="s">
        <v>354</v>
      </c>
      <c r="E257" s="38">
        <v>0.365</v>
      </c>
      <c r="F257" s="32">
        <v>14.6</v>
      </c>
      <c r="G257" s="33"/>
      <c r="H257" s="39">
        <f t="shared" si="32"/>
        <v>0</v>
      </c>
    </row>
    <row r="258" ht="15.0" customHeight="1">
      <c r="A258" s="35" t="s">
        <v>355</v>
      </c>
      <c r="B258" s="36" t="s">
        <v>132</v>
      </c>
      <c r="C258" s="37">
        <v>15.0</v>
      </c>
      <c r="D258" s="30" t="s">
        <v>356</v>
      </c>
      <c r="E258" s="38">
        <v>0.9</v>
      </c>
      <c r="F258" s="32">
        <v>13.5</v>
      </c>
      <c r="G258" s="33"/>
      <c r="H258" s="39">
        <f t="shared" si="32"/>
        <v>0</v>
      </c>
    </row>
    <row r="259" ht="15.0" customHeight="1">
      <c r="A259" s="35" t="s">
        <v>357</v>
      </c>
      <c r="B259" s="36" t="s">
        <v>132</v>
      </c>
      <c r="C259" s="37">
        <v>15.0</v>
      </c>
      <c r="D259" s="30" t="s">
        <v>358</v>
      </c>
      <c r="E259" s="38">
        <v>0.9</v>
      </c>
      <c r="F259" s="32">
        <v>13.5</v>
      </c>
      <c r="G259" s="33"/>
      <c r="H259" s="39">
        <f t="shared" si="32"/>
        <v>0</v>
      </c>
    </row>
    <row r="260" ht="15.0" customHeight="1">
      <c r="A260" s="35" t="s">
        <v>359</v>
      </c>
      <c r="B260" s="36" t="s">
        <v>132</v>
      </c>
      <c r="C260" s="37">
        <v>15.0</v>
      </c>
      <c r="D260" s="30" t="s">
        <v>360</v>
      </c>
      <c r="E260" s="38">
        <v>0.9</v>
      </c>
      <c r="F260" s="32">
        <v>13.5</v>
      </c>
      <c r="G260" s="33"/>
      <c r="H260" s="39">
        <f t="shared" si="32"/>
        <v>0</v>
      </c>
    </row>
    <row r="261" ht="15.0" customHeight="1">
      <c r="A261" s="44" t="s">
        <v>361</v>
      </c>
      <c r="B261" s="36" t="s">
        <v>132</v>
      </c>
      <c r="C261" s="37">
        <v>15.0</v>
      </c>
      <c r="D261" s="89" t="s">
        <v>362</v>
      </c>
      <c r="E261" s="38">
        <v>0.9</v>
      </c>
      <c r="F261" s="32">
        <v>13.5</v>
      </c>
      <c r="G261" s="33"/>
      <c r="H261" s="39">
        <f t="shared" si="32"/>
        <v>0</v>
      </c>
    </row>
    <row r="262" ht="15.0" customHeight="1">
      <c r="A262" s="90" t="s">
        <v>363</v>
      </c>
      <c r="B262" s="91"/>
      <c r="C262" s="92"/>
      <c r="D262" s="93"/>
      <c r="E262" s="31"/>
      <c r="F262" s="32"/>
      <c r="G262" s="33"/>
      <c r="H262" s="39"/>
    </row>
    <row r="263" ht="15.0" customHeight="1">
      <c r="A263" s="94" t="s">
        <v>364</v>
      </c>
      <c r="B263" s="54" t="s">
        <v>175</v>
      </c>
      <c r="C263" s="56">
        <v>24.0</v>
      </c>
      <c r="D263" s="47">
        <v>3.181550000218E12</v>
      </c>
      <c r="E263" s="55">
        <v>0.85</v>
      </c>
      <c r="F263" s="59">
        <f t="shared" ref="F263:F267" si="33">E263*C263</f>
        <v>20.4</v>
      </c>
      <c r="G263" s="33"/>
      <c r="H263" s="39">
        <f t="shared" ref="H263:H267" si="34">G263*F263</f>
        <v>0</v>
      </c>
    </row>
    <row r="264" ht="15.0" customHeight="1">
      <c r="A264" s="94" t="s">
        <v>365</v>
      </c>
      <c r="B264" s="54" t="s">
        <v>13</v>
      </c>
      <c r="C264" s="56">
        <v>24.0</v>
      </c>
      <c r="D264" s="47">
        <v>3.181550000126E12</v>
      </c>
      <c r="E264" s="55">
        <v>0.9</v>
      </c>
      <c r="F264" s="59">
        <f t="shared" si="33"/>
        <v>21.6</v>
      </c>
      <c r="G264" s="33"/>
      <c r="H264" s="39">
        <f t="shared" si="34"/>
        <v>0</v>
      </c>
    </row>
    <row r="265" ht="15.0" customHeight="1">
      <c r="A265" s="94" t="s">
        <v>366</v>
      </c>
      <c r="B265" s="54" t="s">
        <v>13</v>
      </c>
      <c r="C265" s="56">
        <v>24.0</v>
      </c>
      <c r="D265" s="47">
        <v>3.181550100805E12</v>
      </c>
      <c r="E265" s="55">
        <v>1.25</v>
      </c>
      <c r="F265" s="59">
        <f t="shared" si="33"/>
        <v>30</v>
      </c>
      <c r="G265" s="33"/>
      <c r="H265" s="39">
        <f t="shared" si="34"/>
        <v>0</v>
      </c>
    </row>
    <row r="266" ht="15.0" customHeight="1">
      <c r="A266" s="94" t="s">
        <v>367</v>
      </c>
      <c r="B266" s="54" t="s">
        <v>175</v>
      </c>
      <c r="C266" s="56">
        <v>24.0</v>
      </c>
      <c r="D266" s="47">
        <v>3.181550000508E12</v>
      </c>
      <c r="E266" s="55">
        <v>0.8</v>
      </c>
      <c r="F266" s="59">
        <f t="shared" si="33"/>
        <v>19.2</v>
      </c>
      <c r="G266" s="33"/>
      <c r="H266" s="39">
        <f t="shared" si="34"/>
        <v>0</v>
      </c>
    </row>
    <row r="267" ht="15.0" customHeight="1">
      <c r="A267" s="94" t="s">
        <v>368</v>
      </c>
      <c r="B267" s="54" t="s">
        <v>15</v>
      </c>
      <c r="C267" s="56">
        <v>8.0</v>
      </c>
      <c r="D267" s="47">
        <v>3.181550000522E12</v>
      </c>
      <c r="E267" s="55">
        <v>2.65</v>
      </c>
      <c r="F267" s="59">
        <f t="shared" si="33"/>
        <v>21.2</v>
      </c>
      <c r="G267" s="33"/>
      <c r="H267" s="39">
        <f t="shared" si="34"/>
        <v>0</v>
      </c>
    </row>
    <row r="268" ht="15.0" customHeight="1">
      <c r="A268" s="27" t="s">
        <v>369</v>
      </c>
      <c r="B268" s="28"/>
      <c r="C268" s="29"/>
      <c r="D268" s="30"/>
      <c r="E268" s="31"/>
      <c r="F268" s="32"/>
      <c r="G268" s="33"/>
      <c r="H268" s="39"/>
      <c r="K268" s="40"/>
    </row>
    <row r="269" ht="15.0" customHeight="1">
      <c r="A269" s="35" t="s">
        <v>370</v>
      </c>
      <c r="B269" s="36" t="s">
        <v>371</v>
      </c>
      <c r="C269" s="37">
        <v>12.0</v>
      </c>
      <c r="D269" s="30">
        <v>5.71195319445E12</v>
      </c>
      <c r="E269" s="38">
        <v>2.1</v>
      </c>
      <c r="F269" s="32">
        <v>25.2</v>
      </c>
      <c r="G269" s="33"/>
      <c r="H269" s="39">
        <f t="shared" ref="H269:H273" si="35">G269*F269</f>
        <v>0</v>
      </c>
    </row>
    <row r="270" ht="15.0" customHeight="1">
      <c r="A270" s="35" t="s">
        <v>372</v>
      </c>
      <c r="B270" s="36" t="s">
        <v>373</v>
      </c>
      <c r="C270" s="37">
        <v>10.0</v>
      </c>
      <c r="D270" s="30">
        <v>5.609060907158E12</v>
      </c>
      <c r="E270" s="38">
        <v>1.65</v>
      </c>
      <c r="F270" s="32">
        <v>16.5</v>
      </c>
      <c r="G270" s="33"/>
      <c r="H270" s="39">
        <f t="shared" si="35"/>
        <v>0</v>
      </c>
    </row>
    <row r="271" ht="15.0" customHeight="1">
      <c r="A271" s="35" t="s">
        <v>374</v>
      </c>
      <c r="B271" s="36" t="s">
        <v>373</v>
      </c>
      <c r="C271" s="37">
        <v>10.0</v>
      </c>
      <c r="D271" s="30">
        <v>5.609060092328E12</v>
      </c>
      <c r="E271" s="38">
        <v>1.65</v>
      </c>
      <c r="F271" s="32">
        <v>16.5</v>
      </c>
      <c r="G271" s="33"/>
      <c r="H271" s="39">
        <f t="shared" si="35"/>
        <v>0</v>
      </c>
    </row>
    <row r="272" ht="15.0" customHeight="1">
      <c r="A272" s="35" t="s">
        <v>375</v>
      </c>
      <c r="B272" s="36" t="s">
        <v>373</v>
      </c>
      <c r="C272" s="37">
        <v>10.0</v>
      </c>
      <c r="D272" s="30">
        <v>5.609060092311E12</v>
      </c>
      <c r="E272" s="38">
        <v>1.65</v>
      </c>
      <c r="F272" s="32">
        <v>16.5</v>
      </c>
      <c r="G272" s="33"/>
      <c r="H272" s="39">
        <f t="shared" si="35"/>
        <v>0</v>
      </c>
    </row>
    <row r="273" ht="15.0" customHeight="1">
      <c r="A273" s="35" t="s">
        <v>376</v>
      </c>
      <c r="B273" s="36" t="s">
        <v>373</v>
      </c>
      <c r="C273" s="37">
        <v>10.0</v>
      </c>
      <c r="D273" s="30">
        <v>5.609060338907E12</v>
      </c>
      <c r="E273" s="38">
        <v>1.65</v>
      </c>
      <c r="F273" s="32">
        <v>16.5</v>
      </c>
      <c r="G273" s="33"/>
      <c r="H273" s="39">
        <f t="shared" si="35"/>
        <v>0</v>
      </c>
    </row>
    <row r="274" ht="15.0" customHeight="1">
      <c r="A274" s="27" t="s">
        <v>377</v>
      </c>
      <c r="B274" s="28"/>
      <c r="C274" s="29"/>
      <c r="D274" s="30"/>
      <c r="E274" s="31"/>
      <c r="F274" s="32"/>
      <c r="G274" s="33"/>
      <c r="H274" s="39"/>
    </row>
    <row r="275" ht="15.0" customHeight="1">
      <c r="A275" s="35" t="s">
        <v>378</v>
      </c>
      <c r="B275" s="36" t="s">
        <v>132</v>
      </c>
      <c r="C275" s="37">
        <v>24.0</v>
      </c>
      <c r="D275" s="30" t="s">
        <v>379</v>
      </c>
      <c r="E275" s="38">
        <v>0.72</v>
      </c>
      <c r="F275" s="32">
        <v>17.28</v>
      </c>
      <c r="G275" s="33"/>
      <c r="H275" s="39">
        <f t="shared" ref="H275:H328" si="36">G275*F275</f>
        <v>0</v>
      </c>
    </row>
    <row r="276" ht="15.0" customHeight="1">
      <c r="A276" s="35" t="s">
        <v>380</v>
      </c>
      <c r="B276" s="36" t="s">
        <v>132</v>
      </c>
      <c r="C276" s="37">
        <v>24.0</v>
      </c>
      <c r="D276" s="30">
        <v>5.449000214799E12</v>
      </c>
      <c r="E276" s="38">
        <v>0.65</v>
      </c>
      <c r="F276" s="32">
        <v>15.6</v>
      </c>
      <c r="G276" s="33"/>
      <c r="H276" s="39">
        <f t="shared" si="36"/>
        <v>0</v>
      </c>
    </row>
    <row r="277" ht="15.0" customHeight="1">
      <c r="A277" s="35" t="s">
        <v>381</v>
      </c>
      <c r="B277" s="36" t="s">
        <v>132</v>
      </c>
      <c r="C277" s="37">
        <v>24.0</v>
      </c>
      <c r="D277" s="30">
        <v>5.449000214843E12</v>
      </c>
      <c r="E277" s="38">
        <v>0.77</v>
      </c>
      <c r="F277" s="32">
        <v>18.48</v>
      </c>
      <c r="G277" s="33"/>
      <c r="H277" s="39">
        <f t="shared" si="36"/>
        <v>0</v>
      </c>
    </row>
    <row r="278" ht="15.0" customHeight="1">
      <c r="A278" s="43" t="s">
        <v>382</v>
      </c>
      <c r="B278" s="36" t="s">
        <v>132</v>
      </c>
      <c r="C278" s="37">
        <v>24.0</v>
      </c>
      <c r="D278" s="30" t="s">
        <v>383</v>
      </c>
      <c r="E278" s="38">
        <v>0.77</v>
      </c>
      <c r="F278" s="32">
        <v>18.48</v>
      </c>
      <c r="G278" s="41"/>
      <c r="H278" s="42">
        <f t="shared" si="36"/>
        <v>0</v>
      </c>
      <c r="I278" s="40"/>
    </row>
    <row r="279" ht="15.0" customHeight="1">
      <c r="A279" s="35" t="s">
        <v>384</v>
      </c>
      <c r="B279" s="36" t="s">
        <v>132</v>
      </c>
      <c r="C279" s="37">
        <v>24.0</v>
      </c>
      <c r="D279" s="30">
        <v>5.449000284617E12</v>
      </c>
      <c r="E279" s="38">
        <v>0.77</v>
      </c>
      <c r="F279" s="32">
        <v>18.48</v>
      </c>
      <c r="G279" s="33"/>
      <c r="H279" s="39">
        <f t="shared" si="36"/>
        <v>0</v>
      </c>
    </row>
    <row r="280" ht="15.0" customHeight="1">
      <c r="A280" s="35" t="s">
        <v>385</v>
      </c>
      <c r="B280" s="36" t="s">
        <v>132</v>
      </c>
      <c r="C280" s="37">
        <v>24.0</v>
      </c>
      <c r="D280" s="30">
        <v>3.168930159711E12</v>
      </c>
      <c r="E280" s="38">
        <v>0.53</v>
      </c>
      <c r="F280" s="32">
        <v>12.72</v>
      </c>
      <c r="G280" s="33"/>
      <c r="H280" s="39">
        <f t="shared" si="36"/>
        <v>0</v>
      </c>
    </row>
    <row r="281" ht="15.0" customHeight="1">
      <c r="A281" s="44" t="s">
        <v>386</v>
      </c>
      <c r="B281" s="36" t="s">
        <v>132</v>
      </c>
      <c r="C281" s="37">
        <v>24.0</v>
      </c>
      <c r="D281" s="30">
        <v>3.168930178866E12</v>
      </c>
      <c r="E281" s="38">
        <v>0.55</v>
      </c>
      <c r="F281" s="32">
        <v>13.2</v>
      </c>
      <c r="G281" s="33"/>
      <c r="H281" s="39">
        <f t="shared" si="36"/>
        <v>0</v>
      </c>
    </row>
    <row r="282" ht="15.0" customHeight="1">
      <c r="A282" s="35" t="s">
        <v>387</v>
      </c>
      <c r="B282" s="36" t="s">
        <v>132</v>
      </c>
      <c r="C282" s="37">
        <v>24.0</v>
      </c>
      <c r="D282" s="30">
        <v>3.168930159742E12</v>
      </c>
      <c r="E282" s="38">
        <v>0.55</v>
      </c>
      <c r="F282" s="32">
        <v>13.2</v>
      </c>
      <c r="G282" s="33"/>
      <c r="H282" s="39">
        <f t="shared" si="36"/>
        <v>0</v>
      </c>
    </row>
    <row r="283" ht="15.0" customHeight="1">
      <c r="A283" s="35" t="s">
        <v>388</v>
      </c>
      <c r="B283" s="36" t="s">
        <v>132</v>
      </c>
      <c r="C283" s="37">
        <v>24.0</v>
      </c>
      <c r="D283" s="30">
        <v>5.449000281647E12</v>
      </c>
      <c r="E283" s="38">
        <v>0.68</v>
      </c>
      <c r="F283" s="32">
        <v>16.32</v>
      </c>
      <c r="G283" s="33"/>
      <c r="H283" s="39">
        <f t="shared" si="36"/>
        <v>0</v>
      </c>
      <c r="J283" s="95"/>
    </row>
    <row r="284" ht="15.0" customHeight="1">
      <c r="A284" s="35" t="s">
        <v>389</v>
      </c>
      <c r="B284" s="36" t="s">
        <v>132</v>
      </c>
      <c r="C284" s="37">
        <v>24.0</v>
      </c>
      <c r="D284" s="30">
        <v>5.449000099631E12</v>
      </c>
      <c r="E284" s="38">
        <v>0.68</v>
      </c>
      <c r="F284" s="32">
        <v>16.32</v>
      </c>
      <c r="G284" s="33"/>
      <c r="H284" s="39">
        <f t="shared" si="36"/>
        <v>0</v>
      </c>
    </row>
    <row r="285" ht="15.0" customHeight="1">
      <c r="A285" s="35" t="s">
        <v>390</v>
      </c>
      <c r="B285" s="36" t="s">
        <v>132</v>
      </c>
      <c r="C285" s="37">
        <v>24.0</v>
      </c>
      <c r="D285" s="30">
        <v>5.449000281555E12</v>
      </c>
      <c r="E285" s="38">
        <v>0.68</v>
      </c>
      <c r="F285" s="32">
        <v>16.32</v>
      </c>
      <c r="G285" s="33"/>
      <c r="H285" s="39">
        <f t="shared" si="36"/>
        <v>0</v>
      </c>
      <c r="I285" s="96"/>
    </row>
    <row r="286" ht="15.0" customHeight="1">
      <c r="A286" s="35" t="s">
        <v>391</v>
      </c>
      <c r="B286" s="36" t="s">
        <v>132</v>
      </c>
      <c r="C286" s="37">
        <v>24.0</v>
      </c>
      <c r="D286" s="30">
        <v>5.44900022459E12</v>
      </c>
      <c r="E286" s="38">
        <v>0.72</v>
      </c>
      <c r="F286" s="32">
        <v>17.28</v>
      </c>
      <c r="G286" s="33"/>
      <c r="H286" s="39">
        <f t="shared" si="36"/>
        <v>0</v>
      </c>
    </row>
    <row r="287" ht="15.0" customHeight="1">
      <c r="A287" s="35" t="s">
        <v>392</v>
      </c>
      <c r="B287" s="36" t="s">
        <v>132</v>
      </c>
      <c r="C287" s="37">
        <v>24.0</v>
      </c>
      <c r="D287" s="30">
        <v>5.017818800116E12</v>
      </c>
      <c r="E287" s="38">
        <v>0.72</v>
      </c>
      <c r="F287" s="32">
        <v>17.28</v>
      </c>
      <c r="G287" s="33"/>
      <c r="H287" s="39">
        <f t="shared" si="36"/>
        <v>0</v>
      </c>
    </row>
    <row r="288" ht="15.0" customHeight="1">
      <c r="A288" s="97" t="s">
        <v>393</v>
      </c>
      <c r="B288" s="54" t="s">
        <v>132</v>
      </c>
      <c r="C288" s="56">
        <v>24.0</v>
      </c>
      <c r="D288" s="47" t="s">
        <v>394</v>
      </c>
      <c r="E288" s="55">
        <v>0.85</v>
      </c>
      <c r="F288" s="59">
        <f>E288*C288</f>
        <v>20.4</v>
      </c>
      <c r="G288" s="33"/>
      <c r="H288" s="39">
        <f t="shared" si="36"/>
        <v>0</v>
      </c>
    </row>
    <row r="289" ht="15.0" customHeight="1">
      <c r="A289" s="35" t="s">
        <v>395</v>
      </c>
      <c r="B289" s="36" t="s">
        <v>132</v>
      </c>
      <c r="C289" s="37">
        <v>24.0</v>
      </c>
      <c r="D289" s="30">
        <v>5.449000286291E12</v>
      </c>
      <c r="E289" s="38">
        <v>0.56</v>
      </c>
      <c r="F289" s="32">
        <v>13.44</v>
      </c>
      <c r="G289" s="33"/>
      <c r="H289" s="39">
        <f t="shared" si="36"/>
        <v>0</v>
      </c>
    </row>
    <row r="290" ht="15.0" customHeight="1">
      <c r="A290" s="35" t="s">
        <v>396</v>
      </c>
      <c r="B290" s="36" t="s">
        <v>132</v>
      </c>
      <c r="C290" s="37">
        <v>24.0</v>
      </c>
      <c r="D290" s="30">
        <v>3.124480186676E12</v>
      </c>
      <c r="E290" s="38">
        <v>0.6</v>
      </c>
      <c r="F290" s="32">
        <v>14.4</v>
      </c>
      <c r="G290" s="33"/>
      <c r="H290" s="39">
        <f t="shared" si="36"/>
        <v>0</v>
      </c>
    </row>
    <row r="291" ht="15.0" customHeight="1">
      <c r="A291" s="35" t="s">
        <v>397</v>
      </c>
      <c r="B291" s="36" t="s">
        <v>132</v>
      </c>
      <c r="C291" s="37">
        <v>24.0</v>
      </c>
      <c r="D291" s="30">
        <v>3.124480186584E12</v>
      </c>
      <c r="E291" s="38">
        <v>0.6</v>
      </c>
      <c r="F291" s="32">
        <v>14.4</v>
      </c>
      <c r="G291" s="33"/>
      <c r="H291" s="39">
        <f t="shared" si="36"/>
        <v>0</v>
      </c>
    </row>
    <row r="292" ht="15.0" customHeight="1">
      <c r="A292" s="35" t="s">
        <v>398</v>
      </c>
      <c r="B292" s="36" t="s">
        <v>132</v>
      </c>
      <c r="C292" s="37">
        <v>24.0</v>
      </c>
      <c r="D292" s="30">
        <v>3.124480186621E12</v>
      </c>
      <c r="E292" s="38">
        <v>0.6</v>
      </c>
      <c r="F292" s="32">
        <v>14.4</v>
      </c>
      <c r="G292" s="33"/>
      <c r="H292" s="39">
        <f t="shared" si="36"/>
        <v>0</v>
      </c>
    </row>
    <row r="293" ht="15.0" customHeight="1">
      <c r="A293" s="35" t="s">
        <v>399</v>
      </c>
      <c r="B293" s="36" t="s">
        <v>132</v>
      </c>
      <c r="C293" s="37">
        <v>24.0</v>
      </c>
      <c r="D293" s="30">
        <v>3.124480186607E12</v>
      </c>
      <c r="E293" s="38">
        <v>0.65</v>
      </c>
      <c r="F293" s="32">
        <v>15.6</v>
      </c>
      <c r="G293" s="33"/>
      <c r="H293" s="39">
        <f t="shared" si="36"/>
        <v>0</v>
      </c>
    </row>
    <row r="294" ht="15.0" customHeight="1">
      <c r="A294" s="35" t="s">
        <v>400</v>
      </c>
      <c r="B294" s="36" t="s">
        <v>132</v>
      </c>
      <c r="C294" s="37">
        <v>24.0</v>
      </c>
      <c r="D294" s="30">
        <v>3.124480195401E12</v>
      </c>
      <c r="E294" s="38">
        <v>0.55</v>
      </c>
      <c r="F294" s="32">
        <v>13.2</v>
      </c>
      <c r="G294" s="33"/>
      <c r="H294" s="39">
        <f t="shared" si="36"/>
        <v>0</v>
      </c>
    </row>
    <row r="295" ht="15.0" customHeight="1">
      <c r="A295" s="35" t="s">
        <v>401</v>
      </c>
      <c r="B295" s="36" t="s">
        <v>132</v>
      </c>
      <c r="C295" s="37">
        <v>24.0</v>
      </c>
      <c r="D295" s="30">
        <v>3.124480198471E12</v>
      </c>
      <c r="E295" s="38">
        <v>0.55</v>
      </c>
      <c r="F295" s="32">
        <v>13.2</v>
      </c>
      <c r="G295" s="33"/>
      <c r="H295" s="39">
        <f t="shared" si="36"/>
        <v>0</v>
      </c>
    </row>
    <row r="296" ht="15.0" customHeight="1">
      <c r="A296" s="43" t="s">
        <v>402</v>
      </c>
      <c r="B296" s="36" t="s">
        <v>132</v>
      </c>
      <c r="C296" s="37">
        <v>24.0</v>
      </c>
      <c r="D296" s="30">
        <v>3.12448018685E12</v>
      </c>
      <c r="E296" s="55">
        <v>0.65</v>
      </c>
      <c r="F296" s="59">
        <f>E296*C296</f>
        <v>15.6</v>
      </c>
      <c r="G296" s="33"/>
      <c r="H296" s="39">
        <f t="shared" si="36"/>
        <v>0</v>
      </c>
    </row>
    <row r="297" ht="15.0" customHeight="1">
      <c r="A297" s="35" t="s">
        <v>403</v>
      </c>
      <c r="B297" s="36" t="s">
        <v>132</v>
      </c>
      <c r="C297" s="37">
        <v>24.0</v>
      </c>
      <c r="D297" s="30">
        <v>5.449000232311E12</v>
      </c>
      <c r="E297" s="38">
        <v>0.58</v>
      </c>
      <c r="F297" s="32">
        <v>13.92</v>
      </c>
      <c r="G297" s="33"/>
      <c r="H297" s="39">
        <f t="shared" si="36"/>
        <v>0</v>
      </c>
    </row>
    <row r="298" ht="15.0" customHeight="1">
      <c r="A298" s="43" t="s">
        <v>404</v>
      </c>
      <c r="B298" s="36" t="s">
        <v>132</v>
      </c>
      <c r="C298" s="37">
        <v>24.0</v>
      </c>
      <c r="D298" s="61">
        <v>5.449000284433E12</v>
      </c>
      <c r="E298" s="38">
        <v>0.58</v>
      </c>
      <c r="F298" s="32">
        <v>13.92</v>
      </c>
      <c r="G298" s="33"/>
      <c r="H298" s="39">
        <f t="shared" si="36"/>
        <v>0</v>
      </c>
    </row>
    <row r="299" ht="15.0" customHeight="1">
      <c r="A299" s="35" t="s">
        <v>405</v>
      </c>
      <c r="B299" s="36" t="s">
        <v>132</v>
      </c>
      <c r="C299" s="37">
        <v>24.0</v>
      </c>
      <c r="D299" s="30">
        <v>3.12448018432E12</v>
      </c>
      <c r="E299" s="38">
        <v>0.65</v>
      </c>
      <c r="F299" s="32">
        <v>15.6</v>
      </c>
      <c r="G299" s="33"/>
      <c r="H299" s="39">
        <f t="shared" si="36"/>
        <v>0</v>
      </c>
    </row>
    <row r="300" ht="15.0" customHeight="1">
      <c r="A300" s="35" t="s">
        <v>406</v>
      </c>
      <c r="B300" s="36" t="s">
        <v>132</v>
      </c>
      <c r="C300" s="37">
        <v>24.0</v>
      </c>
      <c r="D300" s="30">
        <v>5.449000293961E12</v>
      </c>
      <c r="E300" s="38">
        <v>0.72</v>
      </c>
      <c r="F300" s="32">
        <v>17.28</v>
      </c>
      <c r="G300" s="33"/>
      <c r="H300" s="39">
        <f t="shared" si="36"/>
        <v>0</v>
      </c>
    </row>
    <row r="301" ht="15.0" customHeight="1">
      <c r="A301" s="35" t="s">
        <v>407</v>
      </c>
      <c r="B301" s="36" t="s">
        <v>132</v>
      </c>
      <c r="C301" s="37">
        <v>24.0</v>
      </c>
      <c r="D301" s="30">
        <v>5.449000214829E12</v>
      </c>
      <c r="E301" s="38">
        <v>0.67</v>
      </c>
      <c r="F301" s="32">
        <v>16.08</v>
      </c>
      <c r="G301" s="33"/>
      <c r="H301" s="39">
        <f t="shared" si="36"/>
        <v>0</v>
      </c>
    </row>
    <row r="302" ht="15.0" customHeight="1">
      <c r="A302" s="35" t="s">
        <v>408</v>
      </c>
      <c r="B302" s="36" t="s">
        <v>132</v>
      </c>
      <c r="C302" s="37">
        <v>24.0</v>
      </c>
      <c r="D302" s="30" t="s">
        <v>409</v>
      </c>
      <c r="E302" s="38">
        <v>0.67</v>
      </c>
      <c r="F302" s="32">
        <v>16.08</v>
      </c>
      <c r="G302" s="33"/>
      <c r="H302" s="39">
        <f t="shared" si="36"/>
        <v>0</v>
      </c>
    </row>
    <row r="303" ht="15.0" customHeight="1">
      <c r="A303" s="35" t="s">
        <v>410</v>
      </c>
      <c r="B303" s="36" t="s">
        <v>132</v>
      </c>
      <c r="C303" s="37">
        <v>24.0</v>
      </c>
      <c r="D303" s="30">
        <v>5.449000247872E12</v>
      </c>
      <c r="E303" s="38">
        <v>0.67</v>
      </c>
      <c r="F303" s="32">
        <v>16.08</v>
      </c>
      <c r="G303" s="33"/>
      <c r="H303" s="39">
        <f t="shared" si="36"/>
        <v>0</v>
      </c>
    </row>
    <row r="304" ht="15.0" customHeight="1">
      <c r="A304" s="35" t="s">
        <v>411</v>
      </c>
      <c r="B304" s="36" t="s">
        <v>132</v>
      </c>
      <c r="C304" s="37">
        <v>24.0</v>
      </c>
      <c r="D304" s="30">
        <v>5.449000223319E12</v>
      </c>
      <c r="E304" s="38">
        <v>0.72</v>
      </c>
      <c r="F304" s="32">
        <v>17.28</v>
      </c>
      <c r="G304" s="33"/>
      <c r="H304" s="39">
        <f t="shared" si="36"/>
        <v>0</v>
      </c>
    </row>
    <row r="305" ht="15.0" customHeight="1">
      <c r="A305" s="35" t="s">
        <v>412</v>
      </c>
      <c r="B305" s="36" t="s">
        <v>132</v>
      </c>
      <c r="C305" s="37">
        <v>24.0</v>
      </c>
      <c r="D305" s="30">
        <v>5.449000334534E12</v>
      </c>
      <c r="E305" s="38">
        <v>0.62</v>
      </c>
      <c r="F305" s="32">
        <v>14.88</v>
      </c>
      <c r="G305" s="33"/>
      <c r="H305" s="39">
        <f t="shared" si="36"/>
        <v>0</v>
      </c>
    </row>
    <row r="306" ht="15.0" customHeight="1">
      <c r="A306" s="35" t="s">
        <v>413</v>
      </c>
      <c r="B306" s="36" t="s">
        <v>132</v>
      </c>
      <c r="C306" s="37">
        <v>24.0</v>
      </c>
      <c r="D306" s="30">
        <v>3.12448018685E12</v>
      </c>
      <c r="E306" s="38">
        <v>0.59</v>
      </c>
      <c r="F306" s="32">
        <v>14.16</v>
      </c>
      <c r="G306" s="33"/>
      <c r="H306" s="39">
        <f t="shared" si="36"/>
        <v>0</v>
      </c>
    </row>
    <row r="307" ht="15.0" customHeight="1">
      <c r="A307" s="35" t="s">
        <v>414</v>
      </c>
      <c r="B307" s="36" t="s">
        <v>132</v>
      </c>
      <c r="C307" s="37">
        <v>24.0</v>
      </c>
      <c r="D307" s="30">
        <v>3.124480186898E12</v>
      </c>
      <c r="E307" s="38">
        <v>0.59</v>
      </c>
      <c r="F307" s="32">
        <v>14.16</v>
      </c>
      <c r="G307" s="33"/>
      <c r="H307" s="39">
        <f t="shared" si="36"/>
        <v>0</v>
      </c>
    </row>
    <row r="308" ht="15.0" customHeight="1">
      <c r="A308" s="35" t="s">
        <v>415</v>
      </c>
      <c r="B308" s="36" t="s">
        <v>132</v>
      </c>
      <c r="C308" s="37">
        <v>24.0</v>
      </c>
      <c r="D308" s="30">
        <v>3.124480186881E12</v>
      </c>
      <c r="E308" s="38">
        <v>0.63</v>
      </c>
      <c r="F308" s="32">
        <v>15.12</v>
      </c>
      <c r="G308" s="33"/>
      <c r="H308" s="39">
        <f t="shared" si="36"/>
        <v>0</v>
      </c>
    </row>
    <row r="309" ht="15.0" customHeight="1">
      <c r="A309" s="43" t="s">
        <v>416</v>
      </c>
      <c r="B309" s="36" t="s">
        <v>132</v>
      </c>
      <c r="C309" s="37">
        <v>24.0</v>
      </c>
      <c r="D309" s="30">
        <v>5.410221205958E12</v>
      </c>
      <c r="E309" s="55">
        <v>0.63</v>
      </c>
      <c r="F309" s="59">
        <f>E309*C309</f>
        <v>15.12</v>
      </c>
      <c r="G309" s="33"/>
      <c r="H309" s="39">
        <f t="shared" si="36"/>
        <v>0</v>
      </c>
    </row>
    <row r="310" ht="15.0" customHeight="1">
      <c r="A310" s="35" t="s">
        <v>417</v>
      </c>
      <c r="B310" s="36" t="s">
        <v>132</v>
      </c>
      <c r="C310" s="37">
        <v>24.0</v>
      </c>
      <c r="D310" s="30" t="s">
        <v>418</v>
      </c>
      <c r="E310" s="38">
        <v>0.54</v>
      </c>
      <c r="F310" s="32">
        <v>12.96</v>
      </c>
      <c r="G310" s="33"/>
      <c r="H310" s="39">
        <f t="shared" si="36"/>
        <v>0</v>
      </c>
    </row>
    <row r="311" ht="15.0" customHeight="1">
      <c r="A311" s="35" t="s">
        <v>419</v>
      </c>
      <c r="B311" s="36" t="s">
        <v>132</v>
      </c>
      <c r="C311" s="37">
        <v>24.0</v>
      </c>
      <c r="D311" s="30">
        <v>3.168930176244E12</v>
      </c>
      <c r="E311" s="38">
        <v>0.65</v>
      </c>
      <c r="F311" s="32">
        <v>15.6</v>
      </c>
      <c r="G311" s="33"/>
      <c r="H311" s="39">
        <f t="shared" si="36"/>
        <v>0</v>
      </c>
    </row>
    <row r="312" ht="15.0" customHeight="1">
      <c r="A312" s="35" t="s">
        <v>420</v>
      </c>
      <c r="B312" s="36" t="s">
        <v>132</v>
      </c>
      <c r="C312" s="37">
        <v>24.0</v>
      </c>
      <c r="D312" s="30">
        <v>3.168930176282E12</v>
      </c>
      <c r="E312" s="38">
        <v>0.6</v>
      </c>
      <c r="F312" s="32">
        <v>14.4</v>
      </c>
      <c r="G312" s="33"/>
      <c r="H312" s="39">
        <f t="shared" si="36"/>
        <v>0</v>
      </c>
    </row>
    <row r="313" ht="15.0" customHeight="1">
      <c r="A313" s="35" t="s">
        <v>421</v>
      </c>
      <c r="B313" s="36" t="s">
        <v>132</v>
      </c>
      <c r="C313" s="37">
        <v>24.0</v>
      </c>
      <c r="D313" s="30">
        <v>3.168930159865E12</v>
      </c>
      <c r="E313" s="38">
        <v>0.65</v>
      </c>
      <c r="F313" s="32">
        <v>15.6</v>
      </c>
      <c r="G313" s="33"/>
      <c r="H313" s="39">
        <f t="shared" si="36"/>
        <v>0</v>
      </c>
    </row>
    <row r="314" ht="15.0" customHeight="1">
      <c r="A314" s="35" t="s">
        <v>422</v>
      </c>
      <c r="B314" s="36" t="s">
        <v>132</v>
      </c>
      <c r="C314" s="37">
        <v>24.0</v>
      </c>
      <c r="D314" s="30">
        <v>8.718226321572E12</v>
      </c>
      <c r="E314" s="38">
        <v>0.8</v>
      </c>
      <c r="F314" s="32">
        <v>19.2</v>
      </c>
      <c r="G314" s="33"/>
      <c r="H314" s="39">
        <f t="shared" si="36"/>
        <v>0</v>
      </c>
    </row>
    <row r="315" ht="15.0" customHeight="1">
      <c r="A315" s="35" t="s">
        <v>423</v>
      </c>
      <c r="B315" s="36" t="s">
        <v>132</v>
      </c>
      <c r="C315" s="37">
        <v>24.0</v>
      </c>
      <c r="D315" s="30">
        <v>8.718226321527E12</v>
      </c>
      <c r="E315" s="38">
        <v>0.8</v>
      </c>
      <c r="F315" s="32">
        <v>19.2</v>
      </c>
      <c r="G315" s="33"/>
      <c r="H315" s="39">
        <f t="shared" si="36"/>
        <v>0</v>
      </c>
    </row>
    <row r="316" ht="15.0" customHeight="1">
      <c r="A316" s="35" t="s">
        <v>424</v>
      </c>
      <c r="B316" s="36" t="s">
        <v>132</v>
      </c>
      <c r="C316" s="37">
        <v>24.0</v>
      </c>
      <c r="D316" s="30">
        <v>8.718226321534E12</v>
      </c>
      <c r="E316" s="38">
        <v>0.8</v>
      </c>
      <c r="F316" s="32">
        <v>19.2</v>
      </c>
      <c r="G316" s="33"/>
      <c r="H316" s="39">
        <f t="shared" si="36"/>
        <v>0</v>
      </c>
    </row>
    <row r="317" ht="15.0" customHeight="1">
      <c r="A317" s="35" t="s">
        <v>425</v>
      </c>
      <c r="B317" s="36" t="s">
        <v>132</v>
      </c>
      <c r="C317" s="37">
        <v>24.0</v>
      </c>
      <c r="D317" s="30">
        <v>8.71822632151E12</v>
      </c>
      <c r="E317" s="38">
        <v>0.8</v>
      </c>
      <c r="F317" s="32">
        <v>19.2</v>
      </c>
      <c r="G317" s="33"/>
      <c r="H317" s="39">
        <f t="shared" si="36"/>
        <v>0</v>
      </c>
    </row>
    <row r="318" ht="15.0" customHeight="1">
      <c r="A318" s="35" t="s">
        <v>426</v>
      </c>
      <c r="B318" s="36" t="s">
        <v>132</v>
      </c>
      <c r="C318" s="37">
        <v>24.0</v>
      </c>
      <c r="D318" s="30">
        <v>3.502110004192E12</v>
      </c>
      <c r="E318" s="38">
        <v>0.65</v>
      </c>
      <c r="F318" s="32">
        <v>15.6</v>
      </c>
      <c r="G318" s="33"/>
      <c r="H318" s="39">
        <f t="shared" si="36"/>
        <v>0</v>
      </c>
    </row>
    <row r="319" ht="15.0" customHeight="1">
      <c r="A319" s="35" t="s">
        <v>427</v>
      </c>
      <c r="B319" s="36" t="s">
        <v>132</v>
      </c>
      <c r="C319" s="37">
        <v>24.0</v>
      </c>
      <c r="D319" s="30">
        <v>3.502110002686E12</v>
      </c>
      <c r="E319" s="38">
        <v>0.65</v>
      </c>
      <c r="F319" s="32">
        <v>15.6</v>
      </c>
      <c r="G319" s="33"/>
      <c r="H319" s="39">
        <f t="shared" si="36"/>
        <v>0</v>
      </c>
    </row>
    <row r="320" ht="15.0" customHeight="1">
      <c r="A320" s="35" t="s">
        <v>428</v>
      </c>
      <c r="B320" s="36" t="s">
        <v>132</v>
      </c>
      <c r="C320" s="37">
        <v>24.0</v>
      </c>
      <c r="D320" s="30">
        <v>5.449000295989E12</v>
      </c>
      <c r="E320" s="38">
        <v>0.76</v>
      </c>
      <c r="F320" s="32">
        <v>18.24</v>
      </c>
      <c r="G320" s="33"/>
      <c r="H320" s="39">
        <f t="shared" si="36"/>
        <v>0</v>
      </c>
    </row>
    <row r="321" ht="15.0" customHeight="1">
      <c r="A321" s="35" t="s">
        <v>429</v>
      </c>
      <c r="B321" s="36" t="s">
        <v>132</v>
      </c>
      <c r="C321" s="37">
        <v>24.0</v>
      </c>
      <c r="D321" s="30">
        <v>5.449000257789E12</v>
      </c>
      <c r="E321" s="38">
        <v>0.8</v>
      </c>
      <c r="F321" s="32">
        <v>19.2</v>
      </c>
      <c r="G321" s="33"/>
      <c r="H321" s="39">
        <f t="shared" si="36"/>
        <v>0</v>
      </c>
    </row>
    <row r="322" ht="15.0" customHeight="1">
      <c r="A322" s="35" t="s">
        <v>430</v>
      </c>
      <c r="B322" s="36" t="s">
        <v>132</v>
      </c>
      <c r="C322" s="37">
        <v>24.0</v>
      </c>
      <c r="D322" s="30">
        <v>5.449000257796E12</v>
      </c>
      <c r="E322" s="38">
        <v>0.76</v>
      </c>
      <c r="F322" s="32">
        <v>18.24</v>
      </c>
      <c r="G322" s="33"/>
      <c r="H322" s="39">
        <f t="shared" si="36"/>
        <v>0</v>
      </c>
    </row>
    <row r="323" ht="15.0" customHeight="1">
      <c r="A323" s="35" t="s">
        <v>431</v>
      </c>
      <c r="B323" s="36" t="s">
        <v>132</v>
      </c>
      <c r="C323" s="37">
        <v>24.0</v>
      </c>
      <c r="D323" s="30">
        <v>3.168930159988E12</v>
      </c>
      <c r="E323" s="38">
        <v>0.6</v>
      </c>
      <c r="F323" s="32">
        <v>14.4</v>
      </c>
      <c r="G323" s="33"/>
      <c r="H323" s="39">
        <f t="shared" si="36"/>
        <v>0</v>
      </c>
    </row>
    <row r="324" ht="15.0" customHeight="1">
      <c r="A324" s="35" t="s">
        <v>432</v>
      </c>
      <c r="B324" s="36" t="s">
        <v>132</v>
      </c>
      <c r="C324" s="37">
        <v>24.0</v>
      </c>
      <c r="D324" s="30">
        <v>3.168930162711E12</v>
      </c>
      <c r="E324" s="38">
        <v>0.6</v>
      </c>
      <c r="F324" s="32">
        <v>14.4</v>
      </c>
      <c r="G324" s="33"/>
      <c r="H324" s="39">
        <f t="shared" si="36"/>
        <v>0</v>
      </c>
    </row>
    <row r="325" ht="15.0" customHeight="1">
      <c r="A325" s="35" t="s">
        <v>433</v>
      </c>
      <c r="B325" s="36" t="s">
        <v>132</v>
      </c>
      <c r="C325" s="37">
        <v>24.0</v>
      </c>
      <c r="D325" s="30" t="s">
        <v>434</v>
      </c>
      <c r="E325" s="38">
        <v>0.6</v>
      </c>
      <c r="F325" s="32">
        <v>14.4</v>
      </c>
      <c r="G325" s="33"/>
      <c r="H325" s="39">
        <f t="shared" si="36"/>
        <v>0</v>
      </c>
    </row>
    <row r="326" ht="15.0" customHeight="1">
      <c r="A326" s="98" t="s">
        <v>435</v>
      </c>
      <c r="B326" s="36" t="s">
        <v>132</v>
      </c>
      <c r="C326" s="37">
        <v>24.0</v>
      </c>
      <c r="D326" s="30">
        <v>3.502110009234E12</v>
      </c>
      <c r="E326" s="38">
        <v>0.6</v>
      </c>
      <c r="F326" s="32">
        <v>14.4</v>
      </c>
      <c r="G326" s="33"/>
      <c r="H326" s="39">
        <f t="shared" si="36"/>
        <v>0</v>
      </c>
    </row>
    <row r="327" ht="15.0" customHeight="1">
      <c r="A327" s="35" t="s">
        <v>436</v>
      </c>
      <c r="B327" s="36" t="s">
        <v>132</v>
      </c>
      <c r="C327" s="37">
        <v>24.0</v>
      </c>
      <c r="D327" s="30">
        <v>3.168930178064E12</v>
      </c>
      <c r="E327" s="38">
        <v>0.6</v>
      </c>
      <c r="F327" s="32">
        <v>14.4</v>
      </c>
      <c r="G327" s="33"/>
      <c r="H327" s="39">
        <f t="shared" si="36"/>
        <v>0</v>
      </c>
    </row>
    <row r="328" ht="15.0" customHeight="1">
      <c r="A328" s="35" t="s">
        <v>437</v>
      </c>
      <c r="B328" s="36" t="s">
        <v>132</v>
      </c>
      <c r="C328" s="37">
        <v>24.0</v>
      </c>
      <c r="D328" s="30" t="s">
        <v>438</v>
      </c>
      <c r="E328" s="38">
        <v>0.65</v>
      </c>
      <c r="F328" s="32">
        <v>15.6</v>
      </c>
      <c r="G328" s="33"/>
      <c r="H328" s="39">
        <f t="shared" si="36"/>
        <v>0</v>
      </c>
    </row>
    <row r="329" ht="15.0" customHeight="1">
      <c r="A329" s="49" t="s">
        <v>439</v>
      </c>
      <c r="B329" s="99" t="s">
        <v>13</v>
      </c>
      <c r="C329" s="100">
        <v>24.0</v>
      </c>
      <c r="D329" s="89" t="s">
        <v>440</v>
      </c>
      <c r="E329" s="101">
        <v>0.9</v>
      </c>
      <c r="F329" s="59">
        <f t="shared" ref="F329:F330" si="37">E329*C329</f>
        <v>21.6</v>
      </c>
      <c r="G329" s="33"/>
      <c r="H329" s="39">
        <f t="shared" ref="H329:H330" si="38">G329*F350</f>
        <v>0</v>
      </c>
    </row>
    <row r="330" ht="15.0" customHeight="1">
      <c r="A330" s="49" t="s">
        <v>441</v>
      </c>
      <c r="B330" s="99" t="s">
        <v>13</v>
      </c>
      <c r="C330" s="100">
        <v>24.0</v>
      </c>
      <c r="D330" s="89" t="s">
        <v>442</v>
      </c>
      <c r="E330" s="101">
        <v>0.9</v>
      </c>
      <c r="F330" s="59">
        <f t="shared" si="37"/>
        <v>21.6</v>
      </c>
      <c r="G330" s="33"/>
      <c r="H330" s="39">
        <f t="shared" si="38"/>
        <v>0</v>
      </c>
      <c r="I330" s="102"/>
    </row>
    <row r="331" ht="15.0" customHeight="1">
      <c r="A331" s="35" t="s">
        <v>443</v>
      </c>
      <c r="B331" s="36" t="s">
        <v>132</v>
      </c>
      <c r="C331" s="37">
        <v>24.0</v>
      </c>
      <c r="D331" s="30">
        <v>8.002270876783E12</v>
      </c>
      <c r="E331" s="38">
        <v>0.55</v>
      </c>
      <c r="F331" s="32">
        <v>13.2</v>
      </c>
      <c r="G331" s="33"/>
      <c r="H331" s="39">
        <f t="shared" ref="H331:H335" si="39">G331*F331</f>
        <v>0</v>
      </c>
    </row>
    <row r="332" ht="15.0" customHeight="1">
      <c r="A332" s="98" t="s">
        <v>444</v>
      </c>
      <c r="B332" s="36" t="s">
        <v>132</v>
      </c>
      <c r="C332" s="37">
        <v>24.0</v>
      </c>
      <c r="D332" s="30" t="s">
        <v>445</v>
      </c>
      <c r="E332" s="38">
        <v>0.65</v>
      </c>
      <c r="F332" s="32">
        <v>15.6</v>
      </c>
      <c r="G332" s="33"/>
      <c r="H332" s="39">
        <f t="shared" si="39"/>
        <v>0</v>
      </c>
    </row>
    <row r="333" ht="15.0" customHeight="1">
      <c r="A333" s="98" t="s">
        <v>446</v>
      </c>
      <c r="B333" s="36" t="s">
        <v>132</v>
      </c>
      <c r="C333" s="37">
        <v>24.0</v>
      </c>
      <c r="D333" s="30" t="s">
        <v>447</v>
      </c>
      <c r="E333" s="38">
        <v>0.65</v>
      </c>
      <c r="F333" s="32">
        <v>15.6</v>
      </c>
      <c r="G333" s="33"/>
      <c r="H333" s="39">
        <f t="shared" si="39"/>
        <v>0</v>
      </c>
    </row>
    <row r="334" ht="15.0" customHeight="1">
      <c r="A334" s="98" t="s">
        <v>448</v>
      </c>
      <c r="B334" s="36" t="s">
        <v>132</v>
      </c>
      <c r="C334" s="37">
        <v>24.0</v>
      </c>
      <c r="D334" s="30" t="s">
        <v>449</v>
      </c>
      <c r="E334" s="38">
        <v>0.65</v>
      </c>
      <c r="F334" s="32">
        <v>15.6</v>
      </c>
      <c r="G334" s="33"/>
      <c r="H334" s="39">
        <f t="shared" si="39"/>
        <v>0</v>
      </c>
    </row>
    <row r="335" ht="15.0" customHeight="1">
      <c r="A335" s="98" t="s">
        <v>450</v>
      </c>
      <c r="B335" s="36" t="s">
        <v>132</v>
      </c>
      <c r="C335" s="37">
        <v>24.0</v>
      </c>
      <c r="D335" s="30" t="s">
        <v>451</v>
      </c>
      <c r="E335" s="38">
        <v>0.65</v>
      </c>
      <c r="F335" s="32">
        <v>15.6</v>
      </c>
      <c r="G335" s="33"/>
      <c r="H335" s="39">
        <f t="shared" si="39"/>
        <v>0</v>
      </c>
    </row>
    <row r="336" ht="15.0" customHeight="1">
      <c r="A336" s="27" t="s">
        <v>452</v>
      </c>
      <c r="B336" s="28"/>
      <c r="C336" s="29"/>
      <c r="D336" s="30"/>
      <c r="E336" s="31"/>
      <c r="F336" s="32"/>
      <c r="G336" s="33"/>
      <c r="H336" s="39"/>
    </row>
    <row r="337" ht="15.0" customHeight="1">
      <c r="A337" s="48" t="s">
        <v>453</v>
      </c>
      <c r="B337" s="54" t="s">
        <v>371</v>
      </c>
      <c r="C337" s="56">
        <v>24.0</v>
      </c>
      <c r="D337" s="103" t="s">
        <v>454</v>
      </c>
      <c r="E337" s="55">
        <v>1.75</v>
      </c>
      <c r="F337" s="59">
        <f>E337*C337</f>
        <v>42</v>
      </c>
      <c r="G337" s="33"/>
      <c r="H337" s="39">
        <f t="shared" ref="H337:H358" si="40">G337*F337</f>
        <v>0</v>
      </c>
    </row>
    <row r="338" ht="15.0" customHeight="1">
      <c r="A338" s="48" t="s">
        <v>455</v>
      </c>
      <c r="B338" s="54" t="s">
        <v>371</v>
      </c>
      <c r="C338" s="56">
        <v>24.0</v>
      </c>
      <c r="D338" s="103" t="s">
        <v>456</v>
      </c>
      <c r="E338" s="55">
        <v>1.75</v>
      </c>
      <c r="F338" s="59">
        <v>42.0</v>
      </c>
      <c r="G338" s="33"/>
      <c r="H338" s="39">
        <f t="shared" si="40"/>
        <v>0</v>
      </c>
    </row>
    <row r="339" ht="15.0" customHeight="1">
      <c r="A339" s="49" t="s">
        <v>457</v>
      </c>
      <c r="B339" s="36" t="s">
        <v>132</v>
      </c>
      <c r="C339" s="82" t="s">
        <v>275</v>
      </c>
      <c r="D339" s="89">
        <v>4.062139018321E12</v>
      </c>
      <c r="E339" s="55">
        <v>0.9</v>
      </c>
      <c r="F339" s="59">
        <f t="shared" ref="F339:F346" si="41">E339*C339</f>
        <v>21.6</v>
      </c>
      <c r="G339" s="33"/>
      <c r="H339" s="39">
        <f t="shared" si="40"/>
        <v>0</v>
      </c>
    </row>
    <row r="340" ht="15.0" customHeight="1">
      <c r="A340" s="49" t="s">
        <v>458</v>
      </c>
      <c r="B340" s="36" t="s">
        <v>132</v>
      </c>
      <c r="C340" s="82" t="s">
        <v>275</v>
      </c>
      <c r="D340" s="89">
        <v>4.062139018352E12</v>
      </c>
      <c r="E340" s="55">
        <v>0.9</v>
      </c>
      <c r="F340" s="59">
        <f t="shared" si="41"/>
        <v>21.6</v>
      </c>
      <c r="G340" s="33"/>
      <c r="H340" s="39">
        <f t="shared" si="40"/>
        <v>0</v>
      </c>
    </row>
    <row r="341" ht="15.0" customHeight="1">
      <c r="A341" s="48" t="s">
        <v>459</v>
      </c>
      <c r="B341" s="54" t="s">
        <v>68</v>
      </c>
      <c r="C341" s="56">
        <v>24.0</v>
      </c>
      <c r="D341" s="103" t="s">
        <v>460</v>
      </c>
      <c r="E341" s="55">
        <v>1.05</v>
      </c>
      <c r="F341" s="59">
        <f t="shared" si="41"/>
        <v>25.2</v>
      </c>
      <c r="G341" s="33"/>
      <c r="H341" s="39">
        <f t="shared" si="40"/>
        <v>0</v>
      </c>
    </row>
    <row r="342" ht="15.0" customHeight="1">
      <c r="A342" s="48" t="s">
        <v>461</v>
      </c>
      <c r="B342" s="54" t="s">
        <v>132</v>
      </c>
      <c r="C342" s="56">
        <v>24.0</v>
      </c>
      <c r="D342" s="104" t="s">
        <v>462</v>
      </c>
      <c r="E342" s="55">
        <v>1.05</v>
      </c>
      <c r="F342" s="59">
        <f t="shared" si="41"/>
        <v>25.2</v>
      </c>
      <c r="G342" s="33"/>
      <c r="H342" s="39">
        <f t="shared" si="40"/>
        <v>0</v>
      </c>
    </row>
    <row r="343" ht="15.0" customHeight="1">
      <c r="A343" s="48" t="s">
        <v>463</v>
      </c>
      <c r="B343" s="54" t="s">
        <v>68</v>
      </c>
      <c r="C343" s="56">
        <v>24.0</v>
      </c>
      <c r="D343" s="103" t="s">
        <v>464</v>
      </c>
      <c r="E343" s="55">
        <v>1.05</v>
      </c>
      <c r="F343" s="59">
        <f t="shared" si="41"/>
        <v>25.2</v>
      </c>
      <c r="G343" s="33"/>
      <c r="H343" s="39">
        <f t="shared" si="40"/>
        <v>0</v>
      </c>
    </row>
    <row r="344" ht="15.0" customHeight="1">
      <c r="A344" s="48" t="s">
        <v>465</v>
      </c>
      <c r="B344" s="54" t="s">
        <v>68</v>
      </c>
      <c r="C344" s="56">
        <v>24.0</v>
      </c>
      <c r="D344" s="103" t="s">
        <v>466</v>
      </c>
      <c r="E344" s="55">
        <v>1.05</v>
      </c>
      <c r="F344" s="59">
        <f t="shared" si="41"/>
        <v>25.2</v>
      </c>
      <c r="G344" s="33"/>
      <c r="H344" s="39">
        <f t="shared" si="40"/>
        <v>0</v>
      </c>
    </row>
    <row r="345" ht="15.0" customHeight="1">
      <c r="A345" s="49" t="s">
        <v>467</v>
      </c>
      <c r="B345" s="36" t="s">
        <v>371</v>
      </c>
      <c r="C345" s="36">
        <v>24.0</v>
      </c>
      <c r="D345" s="71">
        <v>5.449000340825E12</v>
      </c>
      <c r="E345" s="52">
        <v>0.95</v>
      </c>
      <c r="F345" s="85">
        <f t="shared" si="41"/>
        <v>22.8</v>
      </c>
      <c r="G345" s="33"/>
      <c r="H345" s="39">
        <f t="shared" si="40"/>
        <v>0</v>
      </c>
    </row>
    <row r="346" ht="15.0" customHeight="1">
      <c r="A346" s="49" t="s">
        <v>468</v>
      </c>
      <c r="B346" s="36" t="s">
        <v>238</v>
      </c>
      <c r="C346" s="36">
        <v>24.0</v>
      </c>
      <c r="D346" s="71">
        <v>9.555589205519E12</v>
      </c>
      <c r="E346" s="52">
        <v>1.05</v>
      </c>
      <c r="F346" s="85">
        <f t="shared" si="41"/>
        <v>25.2</v>
      </c>
      <c r="G346" s="33"/>
      <c r="H346" s="39">
        <f t="shared" si="40"/>
        <v>0</v>
      </c>
    </row>
    <row r="347" ht="15.0" customHeight="1">
      <c r="A347" s="48" t="s">
        <v>469</v>
      </c>
      <c r="B347" s="54" t="s">
        <v>132</v>
      </c>
      <c r="C347" s="56">
        <v>24.0</v>
      </c>
      <c r="D347" s="103" t="s">
        <v>470</v>
      </c>
      <c r="E347" s="55">
        <v>1.05</v>
      </c>
      <c r="F347" s="59">
        <v>25.2</v>
      </c>
      <c r="G347" s="33"/>
      <c r="H347" s="39">
        <f t="shared" si="40"/>
        <v>0</v>
      </c>
    </row>
    <row r="348" ht="15.0" customHeight="1">
      <c r="A348" s="48" t="s">
        <v>471</v>
      </c>
      <c r="B348" s="54" t="s">
        <v>472</v>
      </c>
      <c r="C348" s="56">
        <v>24.0</v>
      </c>
      <c r="D348" s="47" t="s">
        <v>473</v>
      </c>
      <c r="E348" s="55">
        <v>1.05</v>
      </c>
      <c r="F348" s="59">
        <f t="shared" ref="F348:F358" si="42">E348*C348</f>
        <v>25.2</v>
      </c>
      <c r="G348" s="33"/>
      <c r="H348" s="39">
        <f t="shared" si="40"/>
        <v>0</v>
      </c>
    </row>
    <row r="349" ht="15.0" customHeight="1">
      <c r="A349" s="48" t="s">
        <v>474</v>
      </c>
      <c r="B349" s="54" t="s">
        <v>132</v>
      </c>
      <c r="C349" s="56">
        <v>24.0</v>
      </c>
      <c r="D349" s="47" t="s">
        <v>475</v>
      </c>
      <c r="E349" s="55">
        <v>1.05</v>
      </c>
      <c r="F349" s="59">
        <f t="shared" si="42"/>
        <v>25.2</v>
      </c>
      <c r="G349" s="33"/>
      <c r="H349" s="39">
        <f t="shared" si="40"/>
        <v>0</v>
      </c>
    </row>
    <row r="350" ht="15.0" customHeight="1">
      <c r="A350" s="49" t="s">
        <v>476</v>
      </c>
      <c r="B350" s="36" t="s">
        <v>13</v>
      </c>
      <c r="C350" s="82" t="s">
        <v>275</v>
      </c>
      <c r="D350" s="71">
        <v>4.062139019076E12</v>
      </c>
      <c r="E350" s="55">
        <v>1.55</v>
      </c>
      <c r="F350" s="59">
        <f t="shared" si="42"/>
        <v>37.2</v>
      </c>
      <c r="G350" s="33"/>
      <c r="H350" s="39">
        <f t="shared" si="40"/>
        <v>0</v>
      </c>
    </row>
    <row r="351" ht="15.0" customHeight="1">
      <c r="A351" s="49" t="s">
        <v>477</v>
      </c>
      <c r="B351" s="36" t="s">
        <v>13</v>
      </c>
      <c r="C351" s="82" t="s">
        <v>275</v>
      </c>
      <c r="D351" s="71">
        <v>4.062139019045E12</v>
      </c>
      <c r="E351" s="55">
        <v>1.55</v>
      </c>
      <c r="F351" s="59">
        <f t="shared" si="42"/>
        <v>37.2</v>
      </c>
      <c r="G351" s="33"/>
      <c r="H351" s="39">
        <f t="shared" si="40"/>
        <v>0</v>
      </c>
    </row>
    <row r="352" ht="15.0" customHeight="1">
      <c r="A352" s="49" t="s">
        <v>478</v>
      </c>
      <c r="B352" s="36" t="s">
        <v>13</v>
      </c>
      <c r="C352" s="37">
        <v>24.0</v>
      </c>
      <c r="D352" s="30">
        <v>4.062139019014E12</v>
      </c>
      <c r="E352" s="55">
        <v>1.55</v>
      </c>
      <c r="F352" s="59">
        <f t="shared" si="42"/>
        <v>37.2</v>
      </c>
      <c r="G352" s="33"/>
      <c r="H352" s="39">
        <f t="shared" si="40"/>
        <v>0</v>
      </c>
    </row>
    <row r="353" ht="15.0" customHeight="1">
      <c r="A353" s="97" t="s">
        <v>479</v>
      </c>
      <c r="B353" s="105" t="s">
        <v>480</v>
      </c>
      <c r="C353" s="56">
        <v>24.0</v>
      </c>
      <c r="D353" s="106">
        <v>8.801069417905E12</v>
      </c>
      <c r="E353" s="55">
        <v>1.05</v>
      </c>
      <c r="F353" s="59">
        <f t="shared" si="42"/>
        <v>25.2</v>
      </c>
      <c r="G353" s="33"/>
      <c r="H353" s="39">
        <f t="shared" si="40"/>
        <v>0</v>
      </c>
    </row>
    <row r="354" ht="15.0" customHeight="1">
      <c r="A354" s="97" t="s">
        <v>481</v>
      </c>
      <c r="B354" s="105" t="s">
        <v>480</v>
      </c>
      <c r="C354" s="56">
        <v>24.0</v>
      </c>
      <c r="D354" s="106">
        <v>8.80106941795E12</v>
      </c>
      <c r="E354" s="55">
        <v>1.05</v>
      </c>
      <c r="F354" s="59">
        <f t="shared" si="42"/>
        <v>25.2</v>
      </c>
      <c r="G354" s="33"/>
      <c r="H354" s="39">
        <f t="shared" si="40"/>
        <v>0</v>
      </c>
      <c r="N354" s="107"/>
    </row>
    <row r="355" ht="15.0" customHeight="1">
      <c r="A355" s="97" t="s">
        <v>482</v>
      </c>
      <c r="B355" s="54" t="s">
        <v>483</v>
      </c>
      <c r="C355" s="56">
        <v>24.0</v>
      </c>
      <c r="D355" s="106">
        <v>8.8010694211E12</v>
      </c>
      <c r="E355" s="55">
        <v>1.05</v>
      </c>
      <c r="F355" s="59">
        <f t="shared" si="42"/>
        <v>25.2</v>
      </c>
      <c r="G355" s="33"/>
      <c r="H355" s="39">
        <f t="shared" si="40"/>
        <v>0</v>
      </c>
    </row>
    <row r="356" ht="15.0" customHeight="1">
      <c r="A356" s="97" t="s">
        <v>484</v>
      </c>
      <c r="B356" s="54" t="s">
        <v>483</v>
      </c>
      <c r="C356" s="56">
        <v>24.0</v>
      </c>
      <c r="D356" s="106">
        <v>8.801069421117E12</v>
      </c>
      <c r="E356" s="55">
        <v>1.05</v>
      </c>
      <c r="F356" s="59">
        <f t="shared" si="42"/>
        <v>25.2</v>
      </c>
      <c r="G356" s="33"/>
      <c r="H356" s="39">
        <f t="shared" si="40"/>
        <v>0</v>
      </c>
    </row>
    <row r="357" ht="15.0" customHeight="1">
      <c r="A357" s="97" t="s">
        <v>485</v>
      </c>
      <c r="B357" s="54" t="s">
        <v>483</v>
      </c>
      <c r="C357" s="56">
        <v>24.0</v>
      </c>
      <c r="D357" s="106">
        <v>8.801069421124E12</v>
      </c>
      <c r="E357" s="55">
        <v>1.05</v>
      </c>
      <c r="F357" s="59">
        <f t="shared" si="42"/>
        <v>25.2</v>
      </c>
      <c r="G357" s="33"/>
      <c r="H357" s="39">
        <f t="shared" si="40"/>
        <v>0</v>
      </c>
    </row>
    <row r="358" ht="15.0" customHeight="1">
      <c r="A358" s="108" t="s">
        <v>486</v>
      </c>
      <c r="B358" s="54" t="s">
        <v>132</v>
      </c>
      <c r="C358" s="56">
        <v>24.0</v>
      </c>
      <c r="D358" s="106">
        <v>5.0295780002E12</v>
      </c>
      <c r="E358" s="55">
        <v>1.35</v>
      </c>
      <c r="F358" s="59">
        <f t="shared" si="42"/>
        <v>32.4</v>
      </c>
      <c r="G358" s="33"/>
      <c r="H358" s="39">
        <f t="shared" si="40"/>
        <v>0</v>
      </c>
    </row>
    <row r="359" ht="15.0" customHeight="1">
      <c r="A359" s="27" t="s">
        <v>487</v>
      </c>
      <c r="B359" s="28"/>
      <c r="C359" s="29"/>
      <c r="D359" s="30"/>
      <c r="E359" s="31"/>
      <c r="F359" s="32"/>
      <c r="G359" s="33"/>
      <c r="H359" s="39"/>
    </row>
    <row r="360" ht="15.0" customHeight="1">
      <c r="A360" s="35" t="s">
        <v>488</v>
      </c>
      <c r="B360" s="36" t="s">
        <v>19</v>
      </c>
      <c r="C360" s="37">
        <v>24.0</v>
      </c>
      <c r="D360" s="30">
        <v>3.174780000363E12</v>
      </c>
      <c r="E360" s="38">
        <v>1.12</v>
      </c>
      <c r="F360" s="32">
        <v>26.88</v>
      </c>
      <c r="G360" s="33"/>
      <c r="H360" s="39">
        <f t="shared" ref="H360:H409" si="43">G360*F360</f>
        <v>0</v>
      </c>
    </row>
    <row r="361" ht="15.0" customHeight="1">
      <c r="A361" s="35" t="s">
        <v>489</v>
      </c>
      <c r="B361" s="36" t="s">
        <v>19</v>
      </c>
      <c r="C361" s="37">
        <v>24.0</v>
      </c>
      <c r="D361" s="30">
        <v>5.449000131836E12</v>
      </c>
      <c r="E361" s="38">
        <v>1.0</v>
      </c>
      <c r="F361" s="32">
        <v>24.0</v>
      </c>
      <c r="G361" s="33"/>
      <c r="H361" s="39">
        <f t="shared" si="43"/>
        <v>0</v>
      </c>
    </row>
    <row r="362" ht="15.0" customHeight="1">
      <c r="A362" s="35" t="s">
        <v>490</v>
      </c>
      <c r="B362" s="36" t="s">
        <v>19</v>
      </c>
      <c r="C362" s="37">
        <v>24.0</v>
      </c>
      <c r="D362" s="30" t="s">
        <v>491</v>
      </c>
      <c r="E362" s="38">
        <v>1.16</v>
      </c>
      <c r="F362" s="32">
        <v>27.84</v>
      </c>
      <c r="G362" s="33"/>
      <c r="H362" s="39">
        <f t="shared" si="43"/>
        <v>0</v>
      </c>
    </row>
    <row r="363" ht="15.0" customHeight="1">
      <c r="A363" s="35" t="s">
        <v>492</v>
      </c>
      <c r="B363" s="36" t="s">
        <v>19</v>
      </c>
      <c r="C363" s="37">
        <v>24.0</v>
      </c>
      <c r="D363" s="30" t="s">
        <v>493</v>
      </c>
      <c r="E363" s="38">
        <v>1.16</v>
      </c>
      <c r="F363" s="32">
        <v>27.84</v>
      </c>
      <c r="G363" s="33"/>
      <c r="H363" s="39">
        <f t="shared" si="43"/>
        <v>0</v>
      </c>
    </row>
    <row r="364" ht="15.0" customHeight="1">
      <c r="A364" s="35" t="s">
        <v>494</v>
      </c>
      <c r="B364" s="36" t="s">
        <v>19</v>
      </c>
      <c r="C364" s="37">
        <v>24.0</v>
      </c>
      <c r="D364" s="30">
        <v>5.410221506604E12</v>
      </c>
      <c r="E364" s="38">
        <v>1.07</v>
      </c>
      <c r="F364" s="32">
        <v>25.68</v>
      </c>
      <c r="G364" s="33"/>
      <c r="H364" s="39">
        <f t="shared" si="43"/>
        <v>0</v>
      </c>
    </row>
    <row r="365" ht="15.0" customHeight="1">
      <c r="A365" s="35" t="s">
        <v>495</v>
      </c>
      <c r="B365" s="36" t="s">
        <v>19</v>
      </c>
      <c r="C365" s="37">
        <v>24.0</v>
      </c>
      <c r="D365" s="30">
        <v>4.060800102683E12</v>
      </c>
      <c r="E365" s="38">
        <v>0.9</v>
      </c>
      <c r="F365" s="32">
        <v>21.6</v>
      </c>
      <c r="G365" s="33"/>
      <c r="H365" s="39">
        <f t="shared" si="43"/>
        <v>0</v>
      </c>
    </row>
    <row r="366" ht="15.0" customHeight="1">
      <c r="A366" s="35" t="s">
        <v>496</v>
      </c>
      <c r="B366" s="36" t="s">
        <v>19</v>
      </c>
      <c r="C366" s="37">
        <v>24.0</v>
      </c>
      <c r="D366" s="30">
        <v>3.502110000651E12</v>
      </c>
      <c r="E366" s="38">
        <v>0.88</v>
      </c>
      <c r="F366" s="32">
        <v>21.12</v>
      </c>
      <c r="G366" s="33"/>
      <c r="H366" s="39">
        <f t="shared" si="43"/>
        <v>0</v>
      </c>
    </row>
    <row r="367" ht="15.0" customHeight="1">
      <c r="A367" s="35" t="s">
        <v>497</v>
      </c>
      <c r="B367" s="36" t="s">
        <v>19</v>
      </c>
      <c r="C367" s="37">
        <v>24.0</v>
      </c>
      <c r="D367" s="30">
        <v>3.16893017031E12</v>
      </c>
      <c r="E367" s="38">
        <v>1.05</v>
      </c>
      <c r="F367" s="32">
        <v>25.2</v>
      </c>
      <c r="G367" s="33"/>
      <c r="H367" s="39">
        <f t="shared" si="43"/>
        <v>0</v>
      </c>
    </row>
    <row r="368" ht="15.0" customHeight="1">
      <c r="A368" s="35" t="s">
        <v>498</v>
      </c>
      <c r="B368" s="36" t="s">
        <v>19</v>
      </c>
      <c r="C368" s="37">
        <v>24.0</v>
      </c>
      <c r="D368" s="30">
        <v>3.228886043714E12</v>
      </c>
      <c r="E368" s="38">
        <v>1.05</v>
      </c>
      <c r="F368" s="32">
        <v>25.2</v>
      </c>
      <c r="G368" s="33"/>
      <c r="H368" s="39">
        <f t="shared" si="43"/>
        <v>0</v>
      </c>
    </row>
    <row r="369" ht="15.0" customHeight="1">
      <c r="A369" s="44" t="s">
        <v>499</v>
      </c>
      <c r="B369" s="36" t="s">
        <v>19</v>
      </c>
      <c r="C369" s="37">
        <v>24.0</v>
      </c>
      <c r="D369" s="30">
        <v>3.168930166016E12</v>
      </c>
      <c r="E369" s="38">
        <v>1.05</v>
      </c>
      <c r="F369" s="32">
        <v>25.2</v>
      </c>
      <c r="G369" s="33"/>
      <c r="H369" s="39">
        <f t="shared" si="43"/>
        <v>0</v>
      </c>
    </row>
    <row r="370" ht="15.0" customHeight="1">
      <c r="A370" s="35" t="s">
        <v>500</v>
      </c>
      <c r="B370" s="36" t="s">
        <v>19</v>
      </c>
      <c r="C370" s="37">
        <v>24.0</v>
      </c>
      <c r="D370" s="30">
        <v>3.502110010674E12</v>
      </c>
      <c r="E370" s="38">
        <v>1.05</v>
      </c>
      <c r="F370" s="32">
        <v>25.2</v>
      </c>
      <c r="G370" s="33"/>
      <c r="H370" s="39">
        <f t="shared" si="43"/>
        <v>0</v>
      </c>
    </row>
    <row r="371" ht="15.0" customHeight="1">
      <c r="A371" s="35" t="s">
        <v>501</v>
      </c>
      <c r="B371" s="36" t="s">
        <v>19</v>
      </c>
      <c r="C371" s="37">
        <v>24.0</v>
      </c>
      <c r="D371" s="30">
        <v>3.50211001081E12</v>
      </c>
      <c r="E371" s="38">
        <v>1.0</v>
      </c>
      <c r="F371" s="32">
        <v>24.0</v>
      </c>
      <c r="G371" s="33"/>
      <c r="H371" s="39">
        <f t="shared" si="43"/>
        <v>0</v>
      </c>
    </row>
    <row r="372" ht="15.0" customHeight="1">
      <c r="A372" s="35" t="s">
        <v>502</v>
      </c>
      <c r="B372" s="36" t="s">
        <v>503</v>
      </c>
      <c r="C372" s="37">
        <v>24.0</v>
      </c>
      <c r="D372" s="30">
        <v>5.449000232465E12</v>
      </c>
      <c r="E372" s="38">
        <v>0.98</v>
      </c>
      <c r="F372" s="32">
        <v>23.52</v>
      </c>
      <c r="G372" s="33"/>
      <c r="H372" s="39">
        <f t="shared" si="43"/>
        <v>0</v>
      </c>
    </row>
    <row r="373" ht="15.0" customHeight="1">
      <c r="A373" s="35" t="s">
        <v>504</v>
      </c>
      <c r="B373" s="36" t="s">
        <v>503</v>
      </c>
      <c r="C373" s="37">
        <v>24.0</v>
      </c>
      <c r="D373" s="30">
        <v>5.449000043252E12</v>
      </c>
      <c r="E373" s="38">
        <v>0.98</v>
      </c>
      <c r="F373" s="32">
        <v>23.52</v>
      </c>
      <c r="G373" s="33"/>
      <c r="H373" s="39">
        <f t="shared" si="43"/>
        <v>0</v>
      </c>
    </row>
    <row r="374" ht="15.0" customHeight="1">
      <c r="A374" s="35" t="s">
        <v>505</v>
      </c>
      <c r="B374" s="36" t="s">
        <v>19</v>
      </c>
      <c r="C374" s="37">
        <v>24.0</v>
      </c>
      <c r="D374" s="30" t="s">
        <v>506</v>
      </c>
      <c r="E374" s="38">
        <v>1.1</v>
      </c>
      <c r="F374" s="32">
        <v>26.4</v>
      </c>
      <c r="G374" s="33"/>
      <c r="H374" s="39">
        <f t="shared" si="43"/>
        <v>0</v>
      </c>
    </row>
    <row r="375" ht="15.0" customHeight="1">
      <c r="A375" s="35" t="s">
        <v>507</v>
      </c>
      <c r="B375" s="36" t="s">
        <v>19</v>
      </c>
      <c r="C375" s="37">
        <v>24.0</v>
      </c>
      <c r="D375" s="30" t="s">
        <v>508</v>
      </c>
      <c r="E375" s="38">
        <v>1.1</v>
      </c>
      <c r="F375" s="32">
        <v>26.4</v>
      </c>
      <c r="G375" s="33"/>
      <c r="H375" s="39">
        <f t="shared" si="43"/>
        <v>0</v>
      </c>
    </row>
    <row r="376" ht="15.0" customHeight="1">
      <c r="A376" s="48" t="s">
        <v>509</v>
      </c>
      <c r="B376" s="54" t="s">
        <v>19</v>
      </c>
      <c r="C376" s="56">
        <v>24.0</v>
      </c>
      <c r="D376" s="47">
        <v>5.449000297136E12</v>
      </c>
      <c r="E376" s="38">
        <v>1.05</v>
      </c>
      <c r="F376" s="32">
        <v>25.2</v>
      </c>
      <c r="G376" s="33"/>
      <c r="H376" s="39">
        <f t="shared" si="43"/>
        <v>0</v>
      </c>
    </row>
    <row r="377" ht="15.0" customHeight="1">
      <c r="A377" s="48" t="s">
        <v>510</v>
      </c>
      <c r="B377" s="54" t="s">
        <v>19</v>
      </c>
      <c r="C377" s="56">
        <v>24.0</v>
      </c>
      <c r="D377" s="47" t="s">
        <v>511</v>
      </c>
      <c r="E377" s="38">
        <v>1.05</v>
      </c>
      <c r="F377" s="32">
        <v>25.2</v>
      </c>
      <c r="G377" s="33"/>
      <c r="H377" s="39">
        <f t="shared" si="43"/>
        <v>0</v>
      </c>
    </row>
    <row r="378" ht="15.0" customHeight="1">
      <c r="A378" s="35" t="s">
        <v>512</v>
      </c>
      <c r="B378" s="36" t="s">
        <v>19</v>
      </c>
      <c r="C378" s="37">
        <v>24.0</v>
      </c>
      <c r="D378" s="30">
        <v>3.124480167026E12</v>
      </c>
      <c r="E378" s="38">
        <v>1.15</v>
      </c>
      <c r="F378" s="32">
        <v>27.6</v>
      </c>
      <c r="G378" s="33"/>
      <c r="H378" s="39">
        <f t="shared" si="43"/>
        <v>0</v>
      </c>
    </row>
    <row r="379" ht="15.0" customHeight="1">
      <c r="A379" s="35" t="s">
        <v>513</v>
      </c>
      <c r="B379" s="36" t="s">
        <v>19</v>
      </c>
      <c r="C379" s="37">
        <v>24.0</v>
      </c>
      <c r="D379" s="30">
        <v>3.12448016717E12</v>
      </c>
      <c r="E379" s="38">
        <v>1.05</v>
      </c>
      <c r="F379" s="32">
        <v>25.2</v>
      </c>
      <c r="G379" s="33"/>
      <c r="H379" s="39">
        <f t="shared" si="43"/>
        <v>0</v>
      </c>
    </row>
    <row r="380" ht="15.0" customHeight="1">
      <c r="A380" s="35" t="s">
        <v>514</v>
      </c>
      <c r="B380" s="36" t="s">
        <v>19</v>
      </c>
      <c r="C380" s="37">
        <v>24.0</v>
      </c>
      <c r="D380" s="30">
        <v>3.124480167064E12</v>
      </c>
      <c r="E380" s="38">
        <v>1.05</v>
      </c>
      <c r="F380" s="32">
        <v>25.2</v>
      </c>
      <c r="G380" s="33"/>
      <c r="H380" s="39">
        <f t="shared" si="43"/>
        <v>0</v>
      </c>
    </row>
    <row r="381" ht="15.0" customHeight="1">
      <c r="A381" s="35" t="s">
        <v>515</v>
      </c>
      <c r="B381" s="36" t="s">
        <v>19</v>
      </c>
      <c r="C381" s="37">
        <v>24.0</v>
      </c>
      <c r="D381" s="30">
        <v>5.449000286192E12</v>
      </c>
      <c r="E381" s="38">
        <v>1.0</v>
      </c>
      <c r="F381" s="32">
        <v>24.0</v>
      </c>
      <c r="G381" s="33"/>
      <c r="H381" s="39">
        <f t="shared" si="43"/>
        <v>0</v>
      </c>
    </row>
    <row r="382" ht="15.0" customHeight="1">
      <c r="A382" s="35" t="s">
        <v>516</v>
      </c>
      <c r="B382" s="36" t="s">
        <v>19</v>
      </c>
      <c r="C382" s="37">
        <v>24.0</v>
      </c>
      <c r="D382" s="30">
        <v>8.002270015328E12</v>
      </c>
      <c r="E382" s="38">
        <v>0.575</v>
      </c>
      <c r="F382" s="32">
        <v>13.8</v>
      </c>
      <c r="G382" s="33"/>
      <c r="H382" s="39">
        <f t="shared" si="43"/>
        <v>0</v>
      </c>
    </row>
    <row r="383" ht="15.0" customHeight="1">
      <c r="A383" s="49" t="s">
        <v>517</v>
      </c>
      <c r="B383" s="36" t="s">
        <v>19</v>
      </c>
      <c r="C383" s="37">
        <v>24.0</v>
      </c>
      <c r="D383" s="30">
        <v>8.445291617414E12</v>
      </c>
      <c r="E383" s="109">
        <v>0.75</v>
      </c>
      <c r="F383" s="32">
        <f t="shared" ref="F383:F385" si="44">E383*C383</f>
        <v>18</v>
      </c>
      <c r="G383" s="33"/>
      <c r="H383" s="39">
        <f t="shared" si="43"/>
        <v>0</v>
      </c>
    </row>
    <row r="384" ht="15.0" customHeight="1">
      <c r="A384" s="49" t="s">
        <v>518</v>
      </c>
      <c r="B384" s="36" t="s">
        <v>19</v>
      </c>
      <c r="C384" s="37">
        <v>24.0</v>
      </c>
      <c r="D384" s="30">
        <v>8.445291599635E12</v>
      </c>
      <c r="E384" s="109">
        <v>0.75</v>
      </c>
      <c r="F384" s="32">
        <f t="shared" si="44"/>
        <v>18</v>
      </c>
      <c r="G384" s="33"/>
      <c r="H384" s="39">
        <f t="shared" si="43"/>
        <v>0</v>
      </c>
    </row>
    <row r="385" ht="15.0" customHeight="1">
      <c r="A385" s="98" t="s">
        <v>519</v>
      </c>
      <c r="B385" s="36" t="s">
        <v>19</v>
      </c>
      <c r="C385" s="37">
        <v>24.0</v>
      </c>
      <c r="D385" s="30" t="s">
        <v>520</v>
      </c>
      <c r="E385" s="109">
        <v>0.625</v>
      </c>
      <c r="F385" s="32">
        <f t="shared" si="44"/>
        <v>15</v>
      </c>
      <c r="G385" s="33"/>
      <c r="H385" s="39">
        <f t="shared" si="43"/>
        <v>0</v>
      </c>
    </row>
    <row r="386" ht="15.0" customHeight="1">
      <c r="A386" s="35" t="s">
        <v>521</v>
      </c>
      <c r="B386" s="36" t="s">
        <v>19</v>
      </c>
      <c r="C386" s="37">
        <v>24.0</v>
      </c>
      <c r="D386" s="30" t="s">
        <v>522</v>
      </c>
      <c r="E386" s="109">
        <v>0.625</v>
      </c>
      <c r="F386" s="32">
        <v>15.0</v>
      </c>
      <c r="G386" s="33"/>
      <c r="H386" s="39">
        <f t="shared" si="43"/>
        <v>0</v>
      </c>
    </row>
    <row r="387" ht="15.0" customHeight="1">
      <c r="A387" s="35" t="s">
        <v>523</v>
      </c>
      <c r="B387" s="36" t="s">
        <v>19</v>
      </c>
      <c r="C387" s="37">
        <v>24.0</v>
      </c>
      <c r="D387" s="30" t="s">
        <v>524</v>
      </c>
      <c r="E387" s="109">
        <v>0.625</v>
      </c>
      <c r="F387" s="32">
        <v>15.0</v>
      </c>
      <c r="G387" s="33"/>
      <c r="H387" s="39">
        <f t="shared" si="43"/>
        <v>0</v>
      </c>
    </row>
    <row r="388" ht="15.0" customHeight="1">
      <c r="A388" s="35" t="s">
        <v>525</v>
      </c>
      <c r="B388" s="36" t="s">
        <v>19</v>
      </c>
      <c r="C388" s="37">
        <v>24.0</v>
      </c>
      <c r="D388" s="30" t="s">
        <v>526</v>
      </c>
      <c r="E388" s="109">
        <v>0.625</v>
      </c>
      <c r="F388" s="32">
        <v>15.0</v>
      </c>
      <c r="G388" s="33"/>
      <c r="H388" s="39">
        <f t="shared" si="43"/>
        <v>0</v>
      </c>
    </row>
    <row r="389" ht="15.0" customHeight="1">
      <c r="A389" s="35" t="s">
        <v>527</v>
      </c>
      <c r="B389" s="36" t="s">
        <v>19</v>
      </c>
      <c r="C389" s="37">
        <v>24.0</v>
      </c>
      <c r="D389" s="30" t="s">
        <v>528</v>
      </c>
      <c r="E389" s="109">
        <v>0.625</v>
      </c>
      <c r="F389" s="32">
        <v>15.0</v>
      </c>
      <c r="G389" s="33"/>
      <c r="H389" s="39">
        <f t="shared" si="43"/>
        <v>0</v>
      </c>
    </row>
    <row r="390" ht="15.0" customHeight="1">
      <c r="A390" s="35" t="s">
        <v>529</v>
      </c>
      <c r="B390" s="36" t="s">
        <v>19</v>
      </c>
      <c r="C390" s="37">
        <v>24.0</v>
      </c>
      <c r="D390" s="30" t="s">
        <v>530</v>
      </c>
      <c r="E390" s="109">
        <v>0.625</v>
      </c>
      <c r="F390" s="32">
        <v>15.0</v>
      </c>
      <c r="G390" s="33"/>
      <c r="H390" s="39">
        <f t="shared" si="43"/>
        <v>0</v>
      </c>
    </row>
    <row r="391" ht="15.0" customHeight="1">
      <c r="A391" s="49" t="s">
        <v>531</v>
      </c>
      <c r="B391" s="54" t="s">
        <v>19</v>
      </c>
      <c r="C391" s="56">
        <v>24.0</v>
      </c>
      <c r="D391" s="106">
        <v>3.123349017984E12</v>
      </c>
      <c r="E391" s="55">
        <v>1.35</v>
      </c>
      <c r="F391" s="59">
        <f t="shared" ref="F391:F393" si="45">E391*C391</f>
        <v>32.4</v>
      </c>
      <c r="G391" s="33"/>
      <c r="H391" s="39">
        <f t="shared" si="43"/>
        <v>0</v>
      </c>
    </row>
    <row r="392" ht="15.0" customHeight="1">
      <c r="A392" s="49" t="s">
        <v>532</v>
      </c>
      <c r="B392" s="54" t="s">
        <v>19</v>
      </c>
      <c r="C392" s="56">
        <v>24.0</v>
      </c>
      <c r="D392" s="106">
        <v>3.123349018103E12</v>
      </c>
      <c r="E392" s="55">
        <v>1.35</v>
      </c>
      <c r="F392" s="59">
        <f t="shared" si="45"/>
        <v>32.4</v>
      </c>
      <c r="G392" s="33"/>
      <c r="H392" s="39">
        <f t="shared" si="43"/>
        <v>0</v>
      </c>
    </row>
    <row r="393" ht="15.0" customHeight="1">
      <c r="A393" s="49" t="s">
        <v>533</v>
      </c>
      <c r="B393" s="54" t="s">
        <v>19</v>
      </c>
      <c r="C393" s="56">
        <v>24.0</v>
      </c>
      <c r="D393" s="106">
        <v>3.123349018042E12</v>
      </c>
      <c r="E393" s="55">
        <v>1.35</v>
      </c>
      <c r="F393" s="59">
        <f t="shared" si="45"/>
        <v>32.4</v>
      </c>
      <c r="G393" s="33"/>
      <c r="H393" s="39">
        <f t="shared" si="43"/>
        <v>0</v>
      </c>
    </row>
    <row r="394" ht="15.0" customHeight="1">
      <c r="A394" s="35" t="s">
        <v>534</v>
      </c>
      <c r="B394" s="36" t="s">
        <v>19</v>
      </c>
      <c r="C394" s="37">
        <v>24.0</v>
      </c>
      <c r="D394" s="30">
        <v>3.124480168818E12</v>
      </c>
      <c r="E394" s="38">
        <v>1.1</v>
      </c>
      <c r="F394" s="32">
        <v>26.4</v>
      </c>
      <c r="G394" s="33"/>
      <c r="H394" s="39">
        <f t="shared" si="43"/>
        <v>0</v>
      </c>
    </row>
    <row r="395" ht="15.0" customHeight="1">
      <c r="A395" s="35" t="s">
        <v>535</v>
      </c>
      <c r="B395" s="36" t="s">
        <v>19</v>
      </c>
      <c r="C395" s="37">
        <v>24.0</v>
      </c>
      <c r="D395" s="30">
        <v>3.124480177933E12</v>
      </c>
      <c r="E395" s="38">
        <v>1.1</v>
      </c>
      <c r="F395" s="32">
        <v>26.4</v>
      </c>
      <c r="G395" s="33"/>
      <c r="H395" s="39">
        <f t="shared" si="43"/>
        <v>0</v>
      </c>
    </row>
    <row r="396" ht="15.0" customHeight="1">
      <c r="A396" s="35" t="s">
        <v>536</v>
      </c>
      <c r="B396" s="36" t="s">
        <v>19</v>
      </c>
      <c r="C396" s="37">
        <v>24.0</v>
      </c>
      <c r="D396" s="30">
        <v>3.124480167057E12</v>
      </c>
      <c r="E396" s="38">
        <v>1.1</v>
      </c>
      <c r="F396" s="32">
        <v>26.4</v>
      </c>
      <c r="G396" s="33"/>
      <c r="H396" s="39">
        <f t="shared" si="43"/>
        <v>0</v>
      </c>
    </row>
    <row r="397" ht="15.0" customHeight="1">
      <c r="A397" s="35" t="s">
        <v>537</v>
      </c>
      <c r="B397" s="36" t="s">
        <v>19</v>
      </c>
      <c r="C397" s="37">
        <v>24.0</v>
      </c>
      <c r="D397" s="30">
        <v>3.124480196798E12</v>
      </c>
      <c r="E397" s="38">
        <v>1.05</v>
      </c>
      <c r="F397" s="32">
        <v>25.2</v>
      </c>
      <c r="G397" s="33"/>
      <c r="H397" s="39">
        <f t="shared" si="43"/>
        <v>0</v>
      </c>
    </row>
    <row r="398" ht="15.0" customHeight="1">
      <c r="A398" s="35" t="s">
        <v>538</v>
      </c>
      <c r="B398" s="36" t="s">
        <v>503</v>
      </c>
      <c r="C398" s="37">
        <v>24.0</v>
      </c>
      <c r="D398" s="30">
        <v>5.449000321077E12</v>
      </c>
      <c r="E398" s="38">
        <v>0.95</v>
      </c>
      <c r="F398" s="32">
        <v>22.8</v>
      </c>
      <c r="G398" s="33"/>
      <c r="H398" s="39">
        <f t="shared" si="43"/>
        <v>0</v>
      </c>
    </row>
    <row r="399" ht="15.0" customHeight="1">
      <c r="A399" s="35" t="s">
        <v>539</v>
      </c>
      <c r="B399" s="36" t="s">
        <v>503</v>
      </c>
      <c r="C399" s="37">
        <v>24.0</v>
      </c>
      <c r="D399" s="30">
        <v>5.449000321145E12</v>
      </c>
      <c r="E399" s="38">
        <v>0.95</v>
      </c>
      <c r="F399" s="32">
        <v>22.8</v>
      </c>
      <c r="G399" s="33"/>
      <c r="H399" s="39">
        <f t="shared" si="43"/>
        <v>0</v>
      </c>
    </row>
    <row r="400" ht="15.0" customHeight="1">
      <c r="A400" s="35" t="s">
        <v>540</v>
      </c>
      <c r="B400" s="36" t="s">
        <v>541</v>
      </c>
      <c r="C400" s="37">
        <v>24.0</v>
      </c>
      <c r="D400" s="30">
        <v>3.551720042773E12</v>
      </c>
      <c r="E400" s="38">
        <v>1.09</v>
      </c>
      <c r="F400" s="32">
        <v>26.16</v>
      </c>
      <c r="G400" s="33"/>
      <c r="H400" s="39">
        <f t="shared" si="43"/>
        <v>0</v>
      </c>
    </row>
    <row r="401" ht="15.0" customHeight="1">
      <c r="A401" s="35" t="s">
        <v>542</v>
      </c>
      <c r="B401" s="36" t="s">
        <v>541</v>
      </c>
      <c r="C401" s="37">
        <v>24.0</v>
      </c>
      <c r="D401" s="30">
        <v>3.551720204935E12</v>
      </c>
      <c r="E401" s="38">
        <v>1.09</v>
      </c>
      <c r="F401" s="32">
        <v>26.16</v>
      </c>
      <c r="G401" s="33"/>
      <c r="H401" s="39">
        <f t="shared" si="43"/>
        <v>0</v>
      </c>
    </row>
    <row r="402" ht="15.0" customHeight="1">
      <c r="A402" s="35" t="s">
        <v>543</v>
      </c>
      <c r="B402" s="36" t="s">
        <v>541</v>
      </c>
      <c r="C402" s="37">
        <v>24.0</v>
      </c>
      <c r="D402" s="30">
        <v>3.551720026353E12</v>
      </c>
      <c r="E402" s="38">
        <v>1.09</v>
      </c>
      <c r="F402" s="32">
        <v>26.16</v>
      </c>
      <c r="G402" s="33"/>
      <c r="H402" s="39">
        <f t="shared" si="43"/>
        <v>0</v>
      </c>
    </row>
    <row r="403" ht="15.0" customHeight="1">
      <c r="A403" s="35" t="s">
        <v>544</v>
      </c>
      <c r="B403" s="36" t="s">
        <v>541</v>
      </c>
      <c r="C403" s="37">
        <v>24.0</v>
      </c>
      <c r="D403" s="30">
        <v>3.551720026841E12</v>
      </c>
      <c r="E403" s="38">
        <v>1.09</v>
      </c>
      <c r="F403" s="32">
        <v>26.16</v>
      </c>
      <c r="G403" s="33"/>
      <c r="H403" s="39">
        <f t="shared" si="43"/>
        <v>0</v>
      </c>
    </row>
    <row r="404" ht="15.0" customHeight="1">
      <c r="A404" s="35" t="s">
        <v>545</v>
      </c>
      <c r="B404" s="36" t="s">
        <v>541</v>
      </c>
      <c r="C404" s="37">
        <v>24.0</v>
      </c>
      <c r="D404" s="30">
        <v>3.551720207646E12</v>
      </c>
      <c r="E404" s="38">
        <v>1.09</v>
      </c>
      <c r="F404" s="32">
        <v>26.16</v>
      </c>
      <c r="G404" s="33"/>
      <c r="H404" s="39">
        <f t="shared" si="43"/>
        <v>0</v>
      </c>
    </row>
    <row r="405" ht="15.0" customHeight="1">
      <c r="A405" s="35" t="s">
        <v>546</v>
      </c>
      <c r="B405" s="36" t="s">
        <v>541</v>
      </c>
      <c r="C405" s="37">
        <v>24.0</v>
      </c>
      <c r="D405" s="30">
        <v>3.551720207653E12</v>
      </c>
      <c r="E405" s="38">
        <v>1.09</v>
      </c>
      <c r="F405" s="32">
        <v>26.16</v>
      </c>
      <c r="G405" s="33"/>
      <c r="H405" s="39">
        <f t="shared" si="43"/>
        <v>0</v>
      </c>
    </row>
    <row r="406" ht="15.0" customHeight="1">
      <c r="A406" s="35" t="s">
        <v>547</v>
      </c>
      <c r="B406" s="36" t="s">
        <v>19</v>
      </c>
      <c r="C406" s="37">
        <v>24.0</v>
      </c>
      <c r="D406" s="30">
        <v>8.718226322029E12</v>
      </c>
      <c r="E406" s="38">
        <v>1.35</v>
      </c>
      <c r="F406" s="32">
        <v>32.4</v>
      </c>
      <c r="G406" s="33"/>
      <c r="H406" s="39">
        <f t="shared" si="43"/>
        <v>0</v>
      </c>
    </row>
    <row r="407" ht="15.0" customHeight="1">
      <c r="A407" s="35" t="s">
        <v>548</v>
      </c>
      <c r="B407" s="36" t="s">
        <v>19</v>
      </c>
      <c r="C407" s="37">
        <v>24.0</v>
      </c>
      <c r="D407" s="30">
        <v>8.718226322005E12</v>
      </c>
      <c r="E407" s="38">
        <v>1.35</v>
      </c>
      <c r="F407" s="32">
        <v>32.4</v>
      </c>
      <c r="G407" s="33"/>
      <c r="H407" s="39">
        <f t="shared" si="43"/>
        <v>0</v>
      </c>
    </row>
    <row r="408" ht="15.0" customHeight="1">
      <c r="A408" s="35" t="s">
        <v>549</v>
      </c>
      <c r="B408" s="36" t="s">
        <v>19</v>
      </c>
      <c r="C408" s="37">
        <v>24.0</v>
      </c>
      <c r="D408" s="30">
        <v>8.718226322036E12</v>
      </c>
      <c r="E408" s="38">
        <v>1.35</v>
      </c>
      <c r="F408" s="32">
        <v>32.4</v>
      </c>
      <c r="G408" s="33"/>
      <c r="H408" s="39">
        <f t="shared" si="43"/>
        <v>0</v>
      </c>
    </row>
    <row r="409" ht="15.0" customHeight="1">
      <c r="A409" s="35" t="s">
        <v>550</v>
      </c>
      <c r="B409" s="36" t="s">
        <v>19</v>
      </c>
      <c r="C409" s="37">
        <v>24.0</v>
      </c>
      <c r="D409" s="30">
        <v>8.718226322012E12</v>
      </c>
      <c r="E409" s="38">
        <v>1.35</v>
      </c>
      <c r="F409" s="32">
        <v>32.4</v>
      </c>
      <c r="G409" s="33"/>
      <c r="H409" s="39">
        <f t="shared" si="43"/>
        <v>0</v>
      </c>
    </row>
    <row r="410" ht="15.0" customHeight="1">
      <c r="A410" s="110" t="s">
        <v>551</v>
      </c>
      <c r="B410" s="111"/>
      <c r="C410" s="112"/>
      <c r="D410" s="113"/>
      <c r="E410" s="31"/>
      <c r="F410" s="114"/>
      <c r="G410" s="115"/>
      <c r="H410" s="116"/>
    </row>
    <row r="411" ht="15.0" customHeight="1">
      <c r="A411" s="27" t="s">
        <v>552</v>
      </c>
      <c r="B411" s="28"/>
      <c r="C411" s="29"/>
      <c r="D411" s="30"/>
      <c r="E411" s="31"/>
      <c r="F411" s="32"/>
      <c r="G411" s="33"/>
      <c r="H411" s="39"/>
    </row>
    <row r="412" ht="15.0" customHeight="1">
      <c r="A412" s="35" t="s">
        <v>553</v>
      </c>
      <c r="B412" s="36" t="s">
        <v>19</v>
      </c>
      <c r="C412" s="37">
        <v>12.0</v>
      </c>
      <c r="D412" s="30">
        <v>7.649989242426E12</v>
      </c>
      <c r="E412" s="38">
        <v>1.65</v>
      </c>
      <c r="F412" s="32">
        <v>19.8</v>
      </c>
      <c r="G412" s="33"/>
      <c r="H412" s="39">
        <f t="shared" ref="H412:H418" si="46">G412*F412</f>
        <v>0</v>
      </c>
    </row>
    <row r="413" ht="15.0" customHeight="1">
      <c r="A413" s="35" t="s">
        <v>554</v>
      </c>
      <c r="B413" s="36" t="s">
        <v>19</v>
      </c>
      <c r="C413" s="37">
        <v>12.0</v>
      </c>
      <c r="D413" s="30">
        <v>7.640427571696E12</v>
      </c>
      <c r="E413" s="38">
        <v>1.65</v>
      </c>
      <c r="F413" s="32">
        <v>19.8</v>
      </c>
      <c r="G413" s="33"/>
      <c r="H413" s="39">
        <f t="shared" si="46"/>
        <v>0</v>
      </c>
    </row>
    <row r="414" ht="15.0" customHeight="1">
      <c r="A414" s="35" t="s">
        <v>555</v>
      </c>
      <c r="B414" s="36" t="s">
        <v>19</v>
      </c>
      <c r="C414" s="37">
        <v>12.0</v>
      </c>
      <c r="D414" s="30">
        <v>7.649989242433E12</v>
      </c>
      <c r="E414" s="38">
        <v>1.65</v>
      </c>
      <c r="F414" s="32">
        <v>19.8</v>
      </c>
      <c r="G414" s="33"/>
      <c r="H414" s="39">
        <f t="shared" si="46"/>
        <v>0</v>
      </c>
    </row>
    <row r="415" ht="15.0" customHeight="1">
      <c r="A415" s="35" t="s">
        <v>556</v>
      </c>
      <c r="B415" s="36" t="s">
        <v>19</v>
      </c>
      <c r="C415" s="37">
        <v>12.0</v>
      </c>
      <c r="D415" s="30">
        <v>7.640427572518E12</v>
      </c>
      <c r="E415" s="38">
        <v>1.65</v>
      </c>
      <c r="F415" s="32">
        <v>19.8</v>
      </c>
      <c r="G415" s="33"/>
      <c r="H415" s="39">
        <f t="shared" si="46"/>
        <v>0</v>
      </c>
    </row>
    <row r="416" ht="15.0" customHeight="1">
      <c r="A416" s="49" t="s">
        <v>557</v>
      </c>
      <c r="B416" s="36" t="s">
        <v>19</v>
      </c>
      <c r="C416" s="82" t="s">
        <v>558</v>
      </c>
      <c r="D416" s="117">
        <v>7.640427573232E12</v>
      </c>
      <c r="E416" s="55">
        <v>1.65</v>
      </c>
      <c r="F416" s="59">
        <v>19.8</v>
      </c>
      <c r="G416" s="33"/>
      <c r="H416" s="39">
        <f t="shared" si="46"/>
        <v>0</v>
      </c>
    </row>
    <row r="417" ht="15.0" customHeight="1">
      <c r="A417" s="48" t="s">
        <v>559</v>
      </c>
      <c r="B417" s="54" t="s">
        <v>19</v>
      </c>
      <c r="C417" s="56">
        <v>12.0</v>
      </c>
      <c r="D417" s="89">
        <v>7.64998924244E12</v>
      </c>
      <c r="E417" s="55">
        <v>1.65</v>
      </c>
      <c r="F417" s="59">
        <v>19.8</v>
      </c>
      <c r="G417" s="33"/>
      <c r="H417" s="39">
        <f t="shared" si="46"/>
        <v>0</v>
      </c>
    </row>
    <row r="418" ht="15.0" customHeight="1">
      <c r="A418" s="43" t="s">
        <v>560</v>
      </c>
      <c r="B418" s="36" t="s">
        <v>19</v>
      </c>
      <c r="C418" s="37">
        <v>12.0</v>
      </c>
      <c r="D418" s="30">
        <v>7.64042757439E12</v>
      </c>
      <c r="E418" s="38">
        <v>1.65</v>
      </c>
      <c r="F418" s="32">
        <v>19.8</v>
      </c>
      <c r="G418" s="33"/>
      <c r="H418" s="39">
        <f t="shared" si="46"/>
        <v>0</v>
      </c>
    </row>
    <row r="419" ht="15.0" customHeight="1">
      <c r="A419" s="27" t="s">
        <v>561</v>
      </c>
      <c r="B419" s="28"/>
      <c r="C419" s="29"/>
      <c r="D419" s="30"/>
      <c r="E419" s="31"/>
      <c r="F419" s="32"/>
      <c r="G419" s="33"/>
      <c r="H419" s="39"/>
    </row>
    <row r="420" ht="15.0" customHeight="1">
      <c r="A420" s="35" t="s">
        <v>562</v>
      </c>
      <c r="B420" s="36" t="s">
        <v>19</v>
      </c>
      <c r="C420" s="37">
        <v>12.0</v>
      </c>
      <c r="D420" s="30" t="s">
        <v>563</v>
      </c>
      <c r="E420" s="38">
        <v>1.19</v>
      </c>
      <c r="F420" s="32">
        <v>14.28</v>
      </c>
      <c r="G420" s="33"/>
      <c r="H420" s="39">
        <f t="shared" ref="H420:H423" si="47">G420*F420</f>
        <v>0</v>
      </c>
    </row>
    <row r="421" ht="15.0" customHeight="1">
      <c r="A421" s="35" t="s">
        <v>564</v>
      </c>
      <c r="B421" s="36" t="s">
        <v>19</v>
      </c>
      <c r="C421" s="37">
        <v>12.0</v>
      </c>
      <c r="D421" s="30" t="s">
        <v>565</v>
      </c>
      <c r="E421" s="38">
        <v>1.19</v>
      </c>
      <c r="F421" s="32">
        <v>14.28</v>
      </c>
      <c r="G421" s="33"/>
      <c r="H421" s="39">
        <f t="shared" si="47"/>
        <v>0</v>
      </c>
    </row>
    <row r="422" ht="15.0" customHeight="1">
      <c r="A422" s="35" t="s">
        <v>566</v>
      </c>
      <c r="B422" s="36" t="s">
        <v>19</v>
      </c>
      <c r="C422" s="37">
        <v>12.0</v>
      </c>
      <c r="D422" s="30" t="s">
        <v>567</v>
      </c>
      <c r="E422" s="38">
        <v>1.19</v>
      </c>
      <c r="F422" s="32">
        <v>14.28</v>
      </c>
      <c r="G422" s="33"/>
      <c r="H422" s="39">
        <f t="shared" si="47"/>
        <v>0</v>
      </c>
    </row>
    <row r="423" ht="15.0" customHeight="1">
      <c r="A423" s="35" t="s">
        <v>568</v>
      </c>
      <c r="B423" s="36" t="s">
        <v>19</v>
      </c>
      <c r="C423" s="37">
        <v>12.0</v>
      </c>
      <c r="D423" s="30" t="s">
        <v>569</v>
      </c>
      <c r="E423" s="38">
        <v>1.19</v>
      </c>
      <c r="F423" s="32">
        <v>14.28</v>
      </c>
      <c r="G423" s="33"/>
      <c r="H423" s="39">
        <f t="shared" si="47"/>
        <v>0</v>
      </c>
    </row>
    <row r="424" ht="15.0" customHeight="1">
      <c r="A424" s="27" t="s">
        <v>570</v>
      </c>
      <c r="B424" s="28"/>
      <c r="C424" s="29"/>
      <c r="D424" s="30"/>
      <c r="E424" s="31"/>
      <c r="F424" s="32"/>
      <c r="G424" s="33"/>
      <c r="H424" s="39"/>
    </row>
    <row r="425" ht="15.0" customHeight="1">
      <c r="A425" s="35" t="s">
        <v>571</v>
      </c>
      <c r="B425" s="36" t="s">
        <v>19</v>
      </c>
      <c r="C425" s="37">
        <v>12.0</v>
      </c>
      <c r="D425" s="30" t="s">
        <v>572</v>
      </c>
      <c r="E425" s="38">
        <v>1.65</v>
      </c>
      <c r="F425" s="32">
        <v>19.8</v>
      </c>
      <c r="G425" s="33"/>
      <c r="H425" s="39">
        <f t="shared" ref="H425:H429" si="48">G425*F425</f>
        <v>0</v>
      </c>
    </row>
    <row r="426" ht="15.0" customHeight="1">
      <c r="A426" s="35" t="s">
        <v>573</v>
      </c>
      <c r="B426" s="36" t="s">
        <v>19</v>
      </c>
      <c r="C426" s="37">
        <v>12.0</v>
      </c>
      <c r="D426" s="30">
        <v>7.350042719204E12</v>
      </c>
      <c r="E426" s="38">
        <v>1.65</v>
      </c>
      <c r="F426" s="32">
        <v>19.8</v>
      </c>
      <c r="G426" s="33"/>
      <c r="H426" s="39">
        <f t="shared" si="48"/>
        <v>0</v>
      </c>
    </row>
    <row r="427" ht="15.0" customHeight="1">
      <c r="A427" s="35" t="s">
        <v>574</v>
      </c>
      <c r="B427" s="36" t="s">
        <v>19</v>
      </c>
      <c r="C427" s="37">
        <v>12.0</v>
      </c>
      <c r="D427" s="30">
        <v>7.340222800716E12</v>
      </c>
      <c r="E427" s="38">
        <v>1.65</v>
      </c>
      <c r="F427" s="32">
        <v>19.8</v>
      </c>
      <c r="G427" s="33"/>
      <c r="H427" s="39">
        <f t="shared" si="48"/>
        <v>0</v>
      </c>
    </row>
    <row r="428" ht="15.0" customHeight="1">
      <c r="A428" s="35" t="s">
        <v>575</v>
      </c>
      <c r="B428" s="36" t="s">
        <v>19</v>
      </c>
      <c r="C428" s="37">
        <v>12.0</v>
      </c>
      <c r="D428" s="30">
        <v>7.350042719532E12</v>
      </c>
      <c r="E428" s="38">
        <v>1.65</v>
      </c>
      <c r="F428" s="32">
        <v>19.8</v>
      </c>
      <c r="G428" s="33"/>
      <c r="H428" s="39">
        <f t="shared" si="48"/>
        <v>0</v>
      </c>
    </row>
    <row r="429" ht="15.0" customHeight="1">
      <c r="A429" s="35" t="s">
        <v>576</v>
      </c>
      <c r="B429" s="36" t="s">
        <v>19</v>
      </c>
      <c r="C429" s="37">
        <v>12.0</v>
      </c>
      <c r="D429" s="30">
        <v>7.350042711505E12</v>
      </c>
      <c r="E429" s="38">
        <v>1.65</v>
      </c>
      <c r="F429" s="32">
        <v>19.8</v>
      </c>
      <c r="G429" s="33"/>
      <c r="H429" s="39">
        <f t="shared" si="48"/>
        <v>0</v>
      </c>
    </row>
    <row r="430" ht="15.0" customHeight="1">
      <c r="A430" s="27" t="s">
        <v>577</v>
      </c>
      <c r="B430" s="28"/>
      <c r="C430" s="29"/>
      <c r="D430" s="30"/>
      <c r="E430" s="31"/>
      <c r="F430" s="32"/>
      <c r="G430" s="33"/>
      <c r="H430" s="39"/>
    </row>
    <row r="431" ht="15.0" customHeight="1">
      <c r="A431" s="35" t="s">
        <v>578</v>
      </c>
      <c r="B431" s="36" t="s">
        <v>132</v>
      </c>
      <c r="C431" s="37">
        <v>24.0</v>
      </c>
      <c r="D431" s="30">
        <v>7.340131602746E12</v>
      </c>
      <c r="E431" s="38">
        <v>1.65</v>
      </c>
      <c r="F431" s="32">
        <v>39.6</v>
      </c>
      <c r="G431" s="33"/>
      <c r="H431" s="39">
        <f t="shared" ref="H431:H435" si="49">G431*F431</f>
        <v>0</v>
      </c>
    </row>
    <row r="432" ht="15.0" customHeight="1">
      <c r="A432" s="35" t="s">
        <v>579</v>
      </c>
      <c r="B432" s="36" t="s">
        <v>132</v>
      </c>
      <c r="C432" s="37">
        <v>24.0</v>
      </c>
      <c r="D432" s="30">
        <v>7.340131603637E12</v>
      </c>
      <c r="E432" s="38">
        <v>1.65</v>
      </c>
      <c r="F432" s="32">
        <v>39.6</v>
      </c>
      <c r="G432" s="33"/>
      <c r="H432" s="39">
        <f t="shared" si="49"/>
        <v>0</v>
      </c>
    </row>
    <row r="433" ht="15.0" customHeight="1">
      <c r="A433" s="35" t="s">
        <v>580</v>
      </c>
      <c r="B433" s="36" t="s">
        <v>132</v>
      </c>
      <c r="C433" s="37">
        <v>24.0</v>
      </c>
      <c r="D433" s="30">
        <v>7.340131601879E12</v>
      </c>
      <c r="E433" s="38">
        <v>1.65</v>
      </c>
      <c r="F433" s="32">
        <v>39.6</v>
      </c>
      <c r="G433" s="33"/>
      <c r="H433" s="39">
        <f t="shared" si="49"/>
        <v>0</v>
      </c>
    </row>
    <row r="434" ht="15.0" customHeight="1">
      <c r="A434" s="35" t="s">
        <v>581</v>
      </c>
      <c r="B434" s="36" t="s">
        <v>132</v>
      </c>
      <c r="C434" s="37">
        <v>24.0</v>
      </c>
      <c r="D434" s="30">
        <v>7.340131605433E12</v>
      </c>
      <c r="E434" s="38">
        <v>1.65</v>
      </c>
      <c r="F434" s="32">
        <v>39.6</v>
      </c>
      <c r="G434" s="33"/>
      <c r="H434" s="39">
        <f t="shared" si="49"/>
        <v>0</v>
      </c>
    </row>
    <row r="435" ht="15.0" customHeight="1">
      <c r="A435" s="35" t="s">
        <v>582</v>
      </c>
      <c r="B435" s="36" t="s">
        <v>132</v>
      </c>
      <c r="C435" s="37">
        <v>24.0</v>
      </c>
      <c r="D435" s="30">
        <v>7.34013160544E12</v>
      </c>
      <c r="E435" s="38">
        <v>1.65</v>
      </c>
      <c r="F435" s="32">
        <v>39.6</v>
      </c>
      <c r="G435" s="33"/>
      <c r="H435" s="39">
        <f t="shared" si="49"/>
        <v>0</v>
      </c>
    </row>
    <row r="436" ht="15.0" customHeight="1">
      <c r="A436" s="90" t="s">
        <v>583</v>
      </c>
      <c r="B436" s="91"/>
      <c r="C436" s="92"/>
      <c r="D436" s="93"/>
      <c r="E436" s="31"/>
      <c r="F436" s="32"/>
      <c r="G436" s="33"/>
      <c r="H436" s="39"/>
    </row>
    <row r="437" ht="15.0" customHeight="1">
      <c r="A437" s="35" t="s">
        <v>584</v>
      </c>
      <c r="B437" s="36" t="s">
        <v>585</v>
      </c>
      <c r="C437" s="37">
        <v>6.0</v>
      </c>
      <c r="D437" s="30">
        <v>5.449000028921E12</v>
      </c>
      <c r="E437" s="38">
        <v>1.45</v>
      </c>
      <c r="F437" s="32">
        <v>8.7</v>
      </c>
      <c r="G437" s="33"/>
      <c r="H437" s="39">
        <f t="shared" ref="H437:H471" si="50">G437*F437</f>
        <v>0</v>
      </c>
    </row>
    <row r="438" ht="15.0" customHeight="1">
      <c r="A438" s="35" t="s">
        <v>586</v>
      </c>
      <c r="B438" s="36" t="s">
        <v>585</v>
      </c>
      <c r="C438" s="37">
        <v>6.0</v>
      </c>
      <c r="D438" s="30">
        <v>5.449000109255E12</v>
      </c>
      <c r="E438" s="38">
        <v>1.45</v>
      </c>
      <c r="F438" s="32">
        <v>8.7</v>
      </c>
      <c r="G438" s="33"/>
      <c r="H438" s="39">
        <f t="shared" si="50"/>
        <v>0</v>
      </c>
    </row>
    <row r="439" ht="15.0" customHeight="1">
      <c r="A439" s="35" t="s">
        <v>587</v>
      </c>
      <c r="B439" s="36" t="s">
        <v>585</v>
      </c>
      <c r="C439" s="37">
        <v>6.0</v>
      </c>
      <c r="D439" s="30">
        <v>5.449000133724E12</v>
      </c>
      <c r="E439" s="38">
        <v>1.4</v>
      </c>
      <c r="F439" s="32">
        <v>8.4</v>
      </c>
      <c r="G439" s="33"/>
      <c r="H439" s="39">
        <f t="shared" si="50"/>
        <v>0</v>
      </c>
    </row>
    <row r="440" ht="15.0" customHeight="1">
      <c r="A440" s="35" t="s">
        <v>588</v>
      </c>
      <c r="B440" s="36" t="s">
        <v>589</v>
      </c>
      <c r="C440" s="37">
        <v>6.0</v>
      </c>
      <c r="D440" s="30">
        <v>5.449000000439E12</v>
      </c>
      <c r="E440" s="38">
        <v>1.6</v>
      </c>
      <c r="F440" s="32">
        <v>9.6</v>
      </c>
      <c r="G440" s="33"/>
      <c r="H440" s="39">
        <f t="shared" si="50"/>
        <v>0</v>
      </c>
    </row>
    <row r="441" ht="15.0" customHeight="1">
      <c r="A441" s="35" t="s">
        <v>590</v>
      </c>
      <c r="B441" s="36" t="s">
        <v>589</v>
      </c>
      <c r="C441" s="37">
        <v>6.0</v>
      </c>
      <c r="D441" s="30">
        <v>5.449000133335E12</v>
      </c>
      <c r="E441" s="38">
        <v>1.55</v>
      </c>
      <c r="F441" s="32">
        <v>9.3</v>
      </c>
      <c r="G441" s="33"/>
      <c r="H441" s="39">
        <f t="shared" si="50"/>
        <v>0</v>
      </c>
    </row>
    <row r="442" ht="15.0" customHeight="1">
      <c r="A442" s="48" t="s">
        <v>591</v>
      </c>
      <c r="B442" s="54" t="s">
        <v>15</v>
      </c>
      <c r="C442" s="56">
        <v>6.0</v>
      </c>
      <c r="D442" s="103" t="s">
        <v>592</v>
      </c>
      <c r="E442" s="55">
        <v>1.95</v>
      </c>
      <c r="F442" s="59">
        <v>11.7</v>
      </c>
      <c r="G442" s="33"/>
      <c r="H442" s="39">
        <f t="shared" si="50"/>
        <v>0</v>
      </c>
    </row>
    <row r="443" ht="15.0" customHeight="1">
      <c r="A443" s="48" t="s">
        <v>593</v>
      </c>
      <c r="B443" s="54" t="s">
        <v>15</v>
      </c>
      <c r="C443" s="56">
        <v>6.0</v>
      </c>
      <c r="D443" s="103" t="s">
        <v>594</v>
      </c>
      <c r="E443" s="55">
        <v>1.95</v>
      </c>
      <c r="F443" s="59">
        <v>11.7</v>
      </c>
      <c r="G443" s="33"/>
      <c r="H443" s="39">
        <f t="shared" si="50"/>
        <v>0</v>
      </c>
    </row>
    <row r="444" ht="15.0" customHeight="1">
      <c r="A444" s="48" t="s">
        <v>595</v>
      </c>
      <c r="B444" s="54" t="s">
        <v>15</v>
      </c>
      <c r="C444" s="56">
        <v>6.0</v>
      </c>
      <c r="D444" s="103" t="s">
        <v>596</v>
      </c>
      <c r="E444" s="55">
        <v>1.95</v>
      </c>
      <c r="F444" s="59">
        <v>11.7</v>
      </c>
      <c r="G444" s="33"/>
      <c r="H444" s="39">
        <f t="shared" si="50"/>
        <v>0</v>
      </c>
    </row>
    <row r="445" ht="15.0" customHeight="1">
      <c r="A445" s="35" t="s">
        <v>597</v>
      </c>
      <c r="B445" s="36" t="s">
        <v>585</v>
      </c>
      <c r="C445" s="37">
        <v>6.0</v>
      </c>
      <c r="D445" s="30">
        <v>5.44900023225E12</v>
      </c>
      <c r="E445" s="38">
        <v>1.75</v>
      </c>
      <c r="F445" s="32">
        <v>10.5</v>
      </c>
      <c r="G445" s="33"/>
      <c r="H445" s="39">
        <f t="shared" si="50"/>
        <v>0</v>
      </c>
    </row>
    <row r="446" ht="15.0" customHeight="1">
      <c r="A446" s="118" t="s">
        <v>598</v>
      </c>
      <c r="B446" s="36" t="s">
        <v>585</v>
      </c>
      <c r="C446" s="37">
        <v>6.0</v>
      </c>
      <c r="D446" s="30">
        <v>3.168930170549E12</v>
      </c>
      <c r="E446" s="38">
        <v>1.55</v>
      </c>
      <c r="F446" s="32">
        <v>9.3</v>
      </c>
      <c r="G446" s="33"/>
      <c r="H446" s="39">
        <f t="shared" si="50"/>
        <v>0</v>
      </c>
    </row>
    <row r="447" ht="15.0" customHeight="1">
      <c r="A447" s="118" t="s">
        <v>599</v>
      </c>
      <c r="B447" s="36" t="s">
        <v>585</v>
      </c>
      <c r="C447" s="37">
        <v>6.0</v>
      </c>
      <c r="D447" s="30">
        <v>3.168930170662E12</v>
      </c>
      <c r="E447" s="38">
        <v>1.55</v>
      </c>
      <c r="F447" s="32">
        <v>9.3</v>
      </c>
      <c r="G447" s="33"/>
      <c r="H447" s="39">
        <f t="shared" si="50"/>
        <v>0</v>
      </c>
    </row>
    <row r="448" ht="15.0" customHeight="1">
      <c r="A448" s="118" t="s">
        <v>600</v>
      </c>
      <c r="B448" s="36" t="s">
        <v>585</v>
      </c>
      <c r="C448" s="37">
        <v>6.0</v>
      </c>
      <c r="D448" s="30">
        <v>3.168930170938E12</v>
      </c>
      <c r="E448" s="38">
        <v>1.55</v>
      </c>
      <c r="F448" s="32">
        <v>9.3</v>
      </c>
      <c r="G448" s="33"/>
      <c r="H448" s="39">
        <f t="shared" si="50"/>
        <v>0</v>
      </c>
    </row>
    <row r="449" ht="15.0" customHeight="1">
      <c r="A449" s="118" t="s">
        <v>601</v>
      </c>
      <c r="B449" s="36" t="s">
        <v>585</v>
      </c>
      <c r="C449" s="37">
        <v>6.0</v>
      </c>
      <c r="D449" s="30">
        <v>3.168930170907E12</v>
      </c>
      <c r="E449" s="38">
        <v>1.55</v>
      </c>
      <c r="F449" s="32">
        <v>9.3</v>
      </c>
      <c r="G449" s="33"/>
      <c r="H449" s="39">
        <f t="shared" si="50"/>
        <v>0</v>
      </c>
    </row>
    <row r="450" ht="15.0" customHeight="1">
      <c r="A450" s="118" t="s">
        <v>602</v>
      </c>
      <c r="B450" s="36" t="s">
        <v>585</v>
      </c>
      <c r="C450" s="37">
        <v>6.0</v>
      </c>
      <c r="D450" s="30">
        <v>3.168930170969E12</v>
      </c>
      <c r="E450" s="38">
        <v>1.55</v>
      </c>
      <c r="F450" s="32">
        <v>9.3</v>
      </c>
      <c r="G450" s="33"/>
      <c r="H450" s="39">
        <f t="shared" si="50"/>
        <v>0</v>
      </c>
    </row>
    <row r="451" ht="15.0" customHeight="1">
      <c r="A451" s="35" t="s">
        <v>603</v>
      </c>
      <c r="B451" s="36" t="s">
        <v>604</v>
      </c>
      <c r="C451" s="37">
        <v>6.0</v>
      </c>
      <c r="D451" s="30">
        <v>3.124480183828E12</v>
      </c>
      <c r="E451" s="38">
        <v>2.15</v>
      </c>
      <c r="F451" s="32">
        <v>12.9</v>
      </c>
      <c r="G451" s="33"/>
      <c r="H451" s="39">
        <f t="shared" si="50"/>
        <v>0</v>
      </c>
    </row>
    <row r="452" ht="15.0" customHeight="1">
      <c r="A452" s="35" t="s">
        <v>605</v>
      </c>
      <c r="B452" s="36" t="s">
        <v>585</v>
      </c>
      <c r="C452" s="37">
        <v>6.0</v>
      </c>
      <c r="D452" s="30">
        <v>5.44900032106E12</v>
      </c>
      <c r="E452" s="38">
        <v>1.8</v>
      </c>
      <c r="F452" s="32">
        <v>10.8</v>
      </c>
      <c r="G452" s="33"/>
      <c r="H452" s="39">
        <f t="shared" si="50"/>
        <v>0</v>
      </c>
    </row>
    <row r="453" ht="15.0" customHeight="1">
      <c r="A453" s="35" t="s">
        <v>606</v>
      </c>
      <c r="B453" s="36" t="s">
        <v>585</v>
      </c>
      <c r="C453" s="37">
        <v>6.0</v>
      </c>
      <c r="D453" s="30">
        <v>5.449000321169E12</v>
      </c>
      <c r="E453" s="38">
        <v>1.8</v>
      </c>
      <c r="F453" s="32">
        <v>10.8</v>
      </c>
      <c r="G453" s="33"/>
      <c r="H453" s="39">
        <f t="shared" si="50"/>
        <v>0</v>
      </c>
    </row>
    <row r="454" ht="15.0" customHeight="1">
      <c r="A454" s="35" t="s">
        <v>607</v>
      </c>
      <c r="B454" s="36" t="s">
        <v>585</v>
      </c>
      <c r="C454" s="37">
        <v>6.0</v>
      </c>
      <c r="D454" s="30">
        <v>3.551720205048E12</v>
      </c>
      <c r="E454" s="38">
        <v>1.35</v>
      </c>
      <c r="F454" s="32">
        <v>8.1</v>
      </c>
      <c r="G454" s="33"/>
      <c r="H454" s="39">
        <f t="shared" si="50"/>
        <v>0</v>
      </c>
    </row>
    <row r="455" ht="15.0" customHeight="1">
      <c r="A455" s="35" t="s">
        <v>608</v>
      </c>
      <c r="B455" s="36" t="s">
        <v>15</v>
      </c>
      <c r="C455" s="37">
        <v>6.0</v>
      </c>
      <c r="D455" s="30">
        <v>3.551720207554E12</v>
      </c>
      <c r="E455" s="38">
        <v>2.05</v>
      </c>
      <c r="F455" s="32">
        <v>12.3</v>
      </c>
      <c r="G455" s="33"/>
      <c r="H455" s="39">
        <f t="shared" si="50"/>
        <v>0</v>
      </c>
    </row>
    <row r="456" ht="15.0" customHeight="1">
      <c r="A456" s="35" t="s">
        <v>609</v>
      </c>
      <c r="B456" s="36" t="s">
        <v>15</v>
      </c>
      <c r="C456" s="37">
        <v>6.0</v>
      </c>
      <c r="D456" s="30">
        <v>3.55172020753E12</v>
      </c>
      <c r="E456" s="38">
        <v>2.05</v>
      </c>
      <c r="F456" s="32">
        <v>12.3</v>
      </c>
      <c r="G456" s="33"/>
      <c r="H456" s="39">
        <f t="shared" si="50"/>
        <v>0</v>
      </c>
    </row>
    <row r="457" ht="15.0" customHeight="1">
      <c r="A457" s="35" t="s">
        <v>610</v>
      </c>
      <c r="B457" s="36" t="s">
        <v>15</v>
      </c>
      <c r="C457" s="37">
        <v>6.0</v>
      </c>
      <c r="D457" s="30">
        <v>7.613035833272E12</v>
      </c>
      <c r="E457" s="38">
        <v>0.7</v>
      </c>
      <c r="F457" s="32">
        <v>4.2</v>
      </c>
      <c r="G457" s="33"/>
      <c r="H457" s="39">
        <f t="shared" si="50"/>
        <v>0</v>
      </c>
    </row>
    <row r="458" ht="15.0" customHeight="1">
      <c r="A458" s="35" t="s">
        <v>611</v>
      </c>
      <c r="B458" s="36" t="s">
        <v>585</v>
      </c>
      <c r="C458" s="37">
        <v>6.0</v>
      </c>
      <c r="D458" s="30">
        <v>6.130093062853E12</v>
      </c>
      <c r="E458" s="38">
        <v>1.7</v>
      </c>
      <c r="F458" s="32">
        <v>10.2</v>
      </c>
      <c r="G458" s="33"/>
      <c r="H458" s="39">
        <f t="shared" si="50"/>
        <v>0</v>
      </c>
    </row>
    <row r="459" ht="15.0" customHeight="1">
      <c r="A459" s="35" t="s">
        <v>612</v>
      </c>
      <c r="B459" s="36" t="s">
        <v>585</v>
      </c>
      <c r="C459" s="37">
        <v>6.0</v>
      </c>
      <c r="D459" s="30">
        <v>6.130093062846E12</v>
      </c>
      <c r="E459" s="38">
        <v>1.7</v>
      </c>
      <c r="F459" s="32">
        <v>10.2</v>
      </c>
      <c r="G459" s="33"/>
      <c r="H459" s="39">
        <f t="shared" si="50"/>
        <v>0</v>
      </c>
    </row>
    <row r="460" ht="15.0" customHeight="1">
      <c r="A460" s="35" t="s">
        <v>613</v>
      </c>
      <c r="B460" s="36" t="s">
        <v>585</v>
      </c>
      <c r="C460" s="37">
        <v>6.0</v>
      </c>
      <c r="D460" s="30">
        <v>6.130093062792E12</v>
      </c>
      <c r="E460" s="38">
        <v>1.7</v>
      </c>
      <c r="F460" s="32">
        <v>10.2</v>
      </c>
      <c r="G460" s="33"/>
      <c r="H460" s="39">
        <f t="shared" si="50"/>
        <v>0</v>
      </c>
    </row>
    <row r="461" ht="15.0" customHeight="1">
      <c r="A461" s="35" t="s">
        <v>614</v>
      </c>
      <c r="B461" s="36" t="s">
        <v>15</v>
      </c>
      <c r="C461" s="37">
        <v>6.0</v>
      </c>
      <c r="D461" s="30" t="s">
        <v>615</v>
      </c>
      <c r="E461" s="38">
        <v>1.55</v>
      </c>
      <c r="F461" s="32">
        <v>9.3</v>
      </c>
      <c r="G461" s="33"/>
      <c r="H461" s="39">
        <f t="shared" si="50"/>
        <v>0</v>
      </c>
    </row>
    <row r="462" ht="15.0" customHeight="1">
      <c r="A462" s="35" t="s">
        <v>616</v>
      </c>
      <c r="B462" s="36" t="s">
        <v>15</v>
      </c>
      <c r="C462" s="37">
        <v>6.0</v>
      </c>
      <c r="D462" s="30" t="s">
        <v>617</v>
      </c>
      <c r="E462" s="38">
        <v>1.55</v>
      </c>
      <c r="F462" s="32">
        <v>9.3</v>
      </c>
      <c r="G462" s="33"/>
      <c r="H462" s="39">
        <f t="shared" si="50"/>
        <v>0</v>
      </c>
    </row>
    <row r="463" ht="15.0" customHeight="1">
      <c r="A463" s="35" t="s">
        <v>618</v>
      </c>
      <c r="B463" s="36" t="s">
        <v>15</v>
      </c>
      <c r="C463" s="37">
        <v>6.0</v>
      </c>
      <c r="D463" s="30" t="s">
        <v>619</v>
      </c>
      <c r="E463" s="38">
        <v>1.55</v>
      </c>
      <c r="F463" s="32">
        <v>9.3</v>
      </c>
      <c r="G463" s="33"/>
      <c r="H463" s="39">
        <f t="shared" si="50"/>
        <v>0</v>
      </c>
    </row>
    <row r="464" ht="15.0" customHeight="1">
      <c r="A464" s="35" t="s">
        <v>620</v>
      </c>
      <c r="B464" s="36" t="s">
        <v>15</v>
      </c>
      <c r="C464" s="37">
        <v>12.0</v>
      </c>
      <c r="D464" s="30">
        <v>8.850389109793E12</v>
      </c>
      <c r="E464" s="38">
        <v>2.35</v>
      </c>
      <c r="F464" s="32">
        <v>28.2</v>
      </c>
      <c r="G464" s="33"/>
      <c r="H464" s="39">
        <f t="shared" si="50"/>
        <v>0</v>
      </c>
    </row>
    <row r="465" ht="15.0" customHeight="1">
      <c r="A465" s="35" t="s">
        <v>621</v>
      </c>
      <c r="B465" s="36" t="s">
        <v>15</v>
      </c>
      <c r="C465" s="37">
        <v>12.0</v>
      </c>
      <c r="D465" s="30">
        <v>8.850389116012E12</v>
      </c>
      <c r="E465" s="38">
        <v>2.35</v>
      </c>
      <c r="F465" s="32">
        <v>28.2</v>
      </c>
      <c r="G465" s="33"/>
      <c r="H465" s="39">
        <f t="shared" si="50"/>
        <v>0</v>
      </c>
    </row>
    <row r="466" ht="15.0" customHeight="1">
      <c r="A466" s="35" t="s">
        <v>622</v>
      </c>
      <c r="B466" s="36" t="s">
        <v>15</v>
      </c>
      <c r="C466" s="37">
        <v>12.0</v>
      </c>
      <c r="D466" s="30">
        <v>8.85038910699E12</v>
      </c>
      <c r="E466" s="38">
        <v>2.35</v>
      </c>
      <c r="F466" s="32">
        <v>28.2</v>
      </c>
      <c r="G466" s="33"/>
      <c r="H466" s="39">
        <f t="shared" si="50"/>
        <v>0</v>
      </c>
    </row>
    <row r="467" ht="15.0" customHeight="1">
      <c r="A467" s="35" t="s">
        <v>623</v>
      </c>
      <c r="B467" s="36" t="s">
        <v>15</v>
      </c>
      <c r="C467" s="37">
        <v>12.0</v>
      </c>
      <c r="D467" s="30">
        <v>8.850389109762E12</v>
      </c>
      <c r="E467" s="38">
        <v>2.35</v>
      </c>
      <c r="F467" s="32">
        <v>28.2</v>
      </c>
      <c r="G467" s="33"/>
      <c r="H467" s="39">
        <f t="shared" si="50"/>
        <v>0</v>
      </c>
    </row>
    <row r="468" ht="15.0" customHeight="1">
      <c r="A468" s="35" t="s">
        <v>624</v>
      </c>
      <c r="B468" s="36" t="s">
        <v>15</v>
      </c>
      <c r="C468" s="37">
        <v>12.0</v>
      </c>
      <c r="D468" s="30">
        <v>8.85038910545E12</v>
      </c>
      <c r="E468" s="38">
        <v>2.35</v>
      </c>
      <c r="F468" s="32">
        <v>28.2</v>
      </c>
      <c r="G468" s="33"/>
      <c r="H468" s="39">
        <f t="shared" si="50"/>
        <v>0</v>
      </c>
    </row>
    <row r="469" ht="15.0" customHeight="1">
      <c r="A469" s="35" t="s">
        <v>625</v>
      </c>
      <c r="B469" s="36" t="s">
        <v>15</v>
      </c>
      <c r="C469" s="37">
        <v>12.0</v>
      </c>
      <c r="D469" s="30">
        <v>8.850389109779E12</v>
      </c>
      <c r="E469" s="38">
        <v>2.35</v>
      </c>
      <c r="F469" s="32">
        <v>28.2</v>
      </c>
      <c r="G469" s="33"/>
      <c r="H469" s="39">
        <f t="shared" si="50"/>
        <v>0</v>
      </c>
    </row>
    <row r="470" ht="15.0" customHeight="1">
      <c r="A470" s="35" t="s">
        <v>626</v>
      </c>
      <c r="B470" s="36" t="s">
        <v>15</v>
      </c>
      <c r="C470" s="37">
        <v>12.0</v>
      </c>
      <c r="D470" s="30">
        <v>8.850389111628E12</v>
      </c>
      <c r="E470" s="38">
        <v>2.35</v>
      </c>
      <c r="F470" s="32">
        <v>28.2</v>
      </c>
      <c r="G470" s="33"/>
      <c r="H470" s="39">
        <f t="shared" si="50"/>
        <v>0</v>
      </c>
    </row>
    <row r="471" ht="15.0" customHeight="1">
      <c r="A471" s="35" t="s">
        <v>627</v>
      </c>
      <c r="B471" s="36" t="s">
        <v>15</v>
      </c>
      <c r="C471" s="37">
        <v>12.0</v>
      </c>
      <c r="D471" s="30">
        <v>8.850389116357E12</v>
      </c>
      <c r="E471" s="38">
        <v>2.35</v>
      </c>
      <c r="F471" s="32">
        <v>28.2</v>
      </c>
      <c r="G471" s="33"/>
      <c r="H471" s="39">
        <f t="shared" si="50"/>
        <v>0</v>
      </c>
    </row>
    <row r="472" ht="15.0" customHeight="1">
      <c r="A472" s="19" t="s">
        <v>628</v>
      </c>
      <c r="B472" s="20"/>
      <c r="C472" s="21"/>
      <c r="D472" s="22"/>
      <c r="E472" s="23"/>
      <c r="F472" s="24"/>
      <c r="G472" s="25"/>
      <c r="H472" s="119"/>
    </row>
    <row r="473" ht="15.0" customHeight="1">
      <c r="A473" s="27" t="s">
        <v>629</v>
      </c>
      <c r="B473" s="28"/>
      <c r="C473" s="29"/>
      <c r="D473" s="30"/>
      <c r="E473" s="31"/>
      <c r="F473" s="32"/>
      <c r="G473" s="33"/>
      <c r="H473" s="39"/>
    </row>
    <row r="474" ht="15.0" customHeight="1">
      <c r="A474" s="35" t="s">
        <v>630</v>
      </c>
      <c r="B474" s="36" t="s">
        <v>19</v>
      </c>
      <c r="C474" s="37">
        <v>24.0</v>
      </c>
      <c r="D474" s="30">
        <v>3.16233070157E12</v>
      </c>
      <c r="E474" s="38">
        <v>0.63</v>
      </c>
      <c r="F474" s="32">
        <v>15.12</v>
      </c>
      <c r="G474" s="33"/>
      <c r="H474" s="39">
        <f t="shared" ref="H474:H528" si="51">G474*F474</f>
        <v>0</v>
      </c>
    </row>
    <row r="475" ht="15.0" customHeight="1">
      <c r="A475" s="35" t="s">
        <v>631</v>
      </c>
      <c r="B475" s="36" t="s">
        <v>19</v>
      </c>
      <c r="C475" s="37">
        <v>24.0</v>
      </c>
      <c r="D475" s="30">
        <v>3.162330070003E12</v>
      </c>
      <c r="E475" s="38">
        <v>0.83</v>
      </c>
      <c r="F475" s="32">
        <v>19.92</v>
      </c>
      <c r="G475" s="33"/>
      <c r="H475" s="39">
        <f t="shared" si="51"/>
        <v>0</v>
      </c>
    </row>
    <row r="476" ht="15.0" customHeight="1">
      <c r="A476" s="43" t="s">
        <v>632</v>
      </c>
      <c r="B476" s="36" t="s">
        <v>19</v>
      </c>
      <c r="C476" s="37">
        <v>24.0</v>
      </c>
      <c r="D476" s="30">
        <v>3.162330081085E12</v>
      </c>
      <c r="E476" s="38">
        <v>0.92</v>
      </c>
      <c r="F476" s="32">
        <f>E476*C476</f>
        <v>22.08</v>
      </c>
      <c r="G476" s="33"/>
      <c r="H476" s="39">
        <f t="shared" si="51"/>
        <v>0</v>
      </c>
    </row>
    <row r="477" ht="15.0" customHeight="1">
      <c r="A477" s="35" t="s">
        <v>633</v>
      </c>
      <c r="B477" s="36" t="s">
        <v>19</v>
      </c>
      <c r="C477" s="37">
        <v>24.0</v>
      </c>
      <c r="D477" s="30">
        <v>3.162330052641E12</v>
      </c>
      <c r="E477" s="38">
        <v>0.72</v>
      </c>
      <c r="F477" s="32">
        <v>17.28</v>
      </c>
      <c r="G477" s="33"/>
      <c r="H477" s="39">
        <f t="shared" si="51"/>
        <v>0</v>
      </c>
    </row>
    <row r="478" ht="15.0" customHeight="1">
      <c r="A478" s="35" t="s">
        <v>634</v>
      </c>
      <c r="B478" s="36" t="s">
        <v>19</v>
      </c>
      <c r="C478" s="37">
        <v>24.0</v>
      </c>
      <c r="D478" s="30">
        <v>3.162330245029E12</v>
      </c>
      <c r="E478" s="38">
        <v>0.94</v>
      </c>
      <c r="F478" s="32">
        <v>22.56</v>
      </c>
      <c r="G478" s="33"/>
      <c r="H478" s="39">
        <f t="shared" si="51"/>
        <v>0</v>
      </c>
    </row>
    <row r="479" ht="15.0" customHeight="1">
      <c r="A479" s="35" t="s">
        <v>635</v>
      </c>
      <c r="B479" s="36" t="s">
        <v>19</v>
      </c>
      <c r="C479" s="37">
        <v>24.0</v>
      </c>
      <c r="D479" s="30">
        <v>3.162330100113E12</v>
      </c>
      <c r="E479" s="38">
        <v>1.15</v>
      </c>
      <c r="F479" s="32">
        <v>27.6</v>
      </c>
      <c r="G479" s="33"/>
      <c r="H479" s="39">
        <f t="shared" si="51"/>
        <v>0</v>
      </c>
    </row>
    <row r="480" ht="15.0" customHeight="1">
      <c r="A480" s="35" t="s">
        <v>636</v>
      </c>
      <c r="B480" s="36" t="s">
        <v>19</v>
      </c>
      <c r="C480" s="37">
        <v>24.0</v>
      </c>
      <c r="D480" s="30">
        <v>3.162330500043E12</v>
      </c>
      <c r="E480" s="38">
        <v>1.07</v>
      </c>
      <c r="F480" s="32">
        <v>25.68</v>
      </c>
      <c r="G480" s="33"/>
      <c r="H480" s="39">
        <f t="shared" si="51"/>
        <v>0</v>
      </c>
    </row>
    <row r="481" ht="15.0" customHeight="1">
      <c r="A481" s="35" t="s">
        <v>637</v>
      </c>
      <c r="B481" s="36" t="s">
        <v>19</v>
      </c>
      <c r="C481" s="37">
        <v>24.0</v>
      </c>
      <c r="D481" s="30">
        <v>3.162330500104E12</v>
      </c>
      <c r="E481" s="38">
        <v>1.18</v>
      </c>
      <c r="F481" s="32">
        <v>28.32</v>
      </c>
      <c r="G481" s="33"/>
      <c r="H481" s="39">
        <f t="shared" si="51"/>
        <v>0</v>
      </c>
    </row>
    <row r="482" ht="15.0" customHeight="1">
      <c r="A482" s="35" t="s">
        <v>638</v>
      </c>
      <c r="B482" s="36" t="s">
        <v>19</v>
      </c>
      <c r="C482" s="37">
        <v>24.0</v>
      </c>
      <c r="D482" s="30">
        <v>3.162330500111E12</v>
      </c>
      <c r="E482" s="38">
        <v>1.18</v>
      </c>
      <c r="F482" s="32">
        <v>28.32</v>
      </c>
      <c r="G482" s="33"/>
      <c r="H482" s="39">
        <f t="shared" si="51"/>
        <v>0</v>
      </c>
    </row>
    <row r="483" ht="15.0" customHeight="1">
      <c r="A483" s="35" t="s">
        <v>639</v>
      </c>
      <c r="B483" s="36" t="s">
        <v>19</v>
      </c>
      <c r="C483" s="37">
        <v>24.0</v>
      </c>
      <c r="D483" s="30">
        <v>3.162330500128E12</v>
      </c>
      <c r="E483" s="38">
        <v>1.18</v>
      </c>
      <c r="F483" s="32">
        <v>28.32</v>
      </c>
      <c r="G483" s="33"/>
      <c r="H483" s="39">
        <f t="shared" si="51"/>
        <v>0</v>
      </c>
    </row>
    <row r="484" ht="15.0" customHeight="1">
      <c r="A484" s="35" t="s">
        <v>640</v>
      </c>
      <c r="B484" s="36" t="s">
        <v>19</v>
      </c>
      <c r="C484" s="37">
        <v>24.0</v>
      </c>
      <c r="D484" s="30">
        <v>3.261570006152E12</v>
      </c>
      <c r="E484" s="38">
        <v>1.18</v>
      </c>
      <c r="F484" s="32">
        <v>28.32</v>
      </c>
      <c r="G484" s="33"/>
      <c r="H484" s="39">
        <f t="shared" si="51"/>
        <v>0</v>
      </c>
    </row>
    <row r="485" ht="15.0" customHeight="1">
      <c r="A485" s="35" t="s">
        <v>641</v>
      </c>
      <c r="B485" s="36" t="s">
        <v>19</v>
      </c>
      <c r="C485" s="37">
        <v>24.0</v>
      </c>
      <c r="D485" s="30">
        <v>3.162330080927E12</v>
      </c>
      <c r="E485" s="38">
        <v>1.18</v>
      </c>
      <c r="F485" s="32">
        <v>28.32</v>
      </c>
      <c r="G485" s="33"/>
      <c r="H485" s="39">
        <f t="shared" si="51"/>
        <v>0</v>
      </c>
    </row>
    <row r="486" ht="15.0" customHeight="1">
      <c r="A486" s="35" t="s">
        <v>642</v>
      </c>
      <c r="B486" s="36" t="s">
        <v>19</v>
      </c>
      <c r="C486" s="37">
        <v>24.0</v>
      </c>
      <c r="D486" s="30">
        <v>8.716700015238E12</v>
      </c>
      <c r="E486" s="38">
        <v>1.25</v>
      </c>
      <c r="F486" s="32">
        <v>30.0</v>
      </c>
      <c r="G486" s="33"/>
      <c r="H486" s="39">
        <f t="shared" si="51"/>
        <v>0</v>
      </c>
    </row>
    <row r="487" ht="15.0" customHeight="1">
      <c r="A487" s="35" t="s">
        <v>643</v>
      </c>
      <c r="B487" s="36" t="s">
        <v>19</v>
      </c>
      <c r="C487" s="37">
        <v>24.0</v>
      </c>
      <c r="D487" s="30" t="s">
        <v>644</v>
      </c>
      <c r="E487" s="38">
        <v>1.55</v>
      </c>
      <c r="F487" s="32">
        <v>37.2</v>
      </c>
      <c r="G487" s="33"/>
      <c r="H487" s="39">
        <f t="shared" si="51"/>
        <v>0</v>
      </c>
    </row>
    <row r="488" ht="15.0" customHeight="1">
      <c r="A488" s="35" t="s">
        <v>645</v>
      </c>
      <c r="B488" s="36" t="s">
        <v>19</v>
      </c>
      <c r="C488" s="37">
        <v>24.0</v>
      </c>
      <c r="D488" s="30">
        <v>8.716700017126E12</v>
      </c>
      <c r="E488" s="38">
        <v>1.3</v>
      </c>
      <c r="F488" s="32">
        <v>31.2</v>
      </c>
      <c r="G488" s="33"/>
      <c r="H488" s="39">
        <f t="shared" si="51"/>
        <v>0</v>
      </c>
    </row>
    <row r="489" ht="15.0" customHeight="1">
      <c r="A489" s="35" t="s">
        <v>646</v>
      </c>
      <c r="B489" s="36" t="s">
        <v>19</v>
      </c>
      <c r="C489" s="37">
        <v>24.0</v>
      </c>
      <c r="D489" s="30">
        <v>8.714800035187E12</v>
      </c>
      <c r="E489" s="38">
        <v>1.14</v>
      </c>
      <c r="F489" s="32">
        <v>27.36</v>
      </c>
      <c r="G489" s="33"/>
      <c r="H489" s="39">
        <f t="shared" si="51"/>
        <v>0</v>
      </c>
    </row>
    <row r="490" ht="15.0" customHeight="1">
      <c r="A490" s="35" t="s">
        <v>647</v>
      </c>
      <c r="B490" s="36" t="s">
        <v>19</v>
      </c>
      <c r="C490" s="37">
        <v>24.0</v>
      </c>
      <c r="D490" s="30" t="s">
        <v>648</v>
      </c>
      <c r="E490" s="38">
        <v>1.14</v>
      </c>
      <c r="F490" s="32">
        <v>27.36</v>
      </c>
      <c r="G490" s="33"/>
      <c r="H490" s="39">
        <f t="shared" si="51"/>
        <v>0</v>
      </c>
    </row>
    <row r="491" ht="15.0" customHeight="1">
      <c r="A491" s="35" t="s">
        <v>649</v>
      </c>
      <c r="B491" s="36" t="s">
        <v>650</v>
      </c>
      <c r="C491" s="37">
        <v>96.0</v>
      </c>
      <c r="D491" s="30" t="s">
        <v>651</v>
      </c>
      <c r="E491" s="38">
        <v>1.14</v>
      </c>
      <c r="F491" s="32">
        <v>437.76</v>
      </c>
      <c r="G491" s="33"/>
      <c r="H491" s="39">
        <f t="shared" si="51"/>
        <v>0</v>
      </c>
    </row>
    <row r="492" ht="15.0" customHeight="1">
      <c r="A492" s="35" t="s">
        <v>652</v>
      </c>
      <c r="B492" s="36" t="s">
        <v>653</v>
      </c>
      <c r="C492" s="37">
        <v>36.0</v>
      </c>
      <c r="D492" s="30">
        <v>8.714800035187E12</v>
      </c>
      <c r="E492" s="38">
        <v>1.14</v>
      </c>
      <c r="F492" s="32">
        <v>738.72</v>
      </c>
      <c r="G492" s="33"/>
      <c r="H492" s="39">
        <f t="shared" si="51"/>
        <v>0</v>
      </c>
    </row>
    <row r="493" ht="15.0" customHeight="1">
      <c r="A493" s="35" t="s">
        <v>654</v>
      </c>
      <c r="B493" s="36" t="s">
        <v>19</v>
      </c>
      <c r="C493" s="37">
        <v>24.0</v>
      </c>
      <c r="D493" s="30">
        <v>8.714800021395E12</v>
      </c>
      <c r="E493" s="38">
        <v>1.15</v>
      </c>
      <c r="F493" s="32">
        <v>27.6</v>
      </c>
      <c r="G493" s="33"/>
      <c r="H493" s="39">
        <f t="shared" si="51"/>
        <v>0</v>
      </c>
    </row>
    <row r="494" ht="15.0" customHeight="1">
      <c r="A494" s="35" t="s">
        <v>655</v>
      </c>
      <c r="B494" s="36" t="s">
        <v>19</v>
      </c>
      <c r="C494" s="37">
        <v>24.0</v>
      </c>
      <c r="D494" s="30">
        <v>8.714800014182E12</v>
      </c>
      <c r="E494" s="38">
        <v>1.25</v>
      </c>
      <c r="F494" s="32">
        <v>30.0</v>
      </c>
      <c r="G494" s="33"/>
      <c r="H494" s="39">
        <f t="shared" si="51"/>
        <v>0</v>
      </c>
    </row>
    <row r="495" ht="15.0" customHeight="1">
      <c r="A495" s="35" t="s">
        <v>656</v>
      </c>
      <c r="B495" s="36" t="s">
        <v>19</v>
      </c>
      <c r="C495" s="37">
        <v>24.0</v>
      </c>
      <c r="D495" s="30">
        <v>8.714800036214E12</v>
      </c>
      <c r="E495" s="38">
        <v>1.27</v>
      </c>
      <c r="F495" s="32">
        <v>30.48</v>
      </c>
      <c r="G495" s="33"/>
      <c r="H495" s="39">
        <f t="shared" si="51"/>
        <v>0</v>
      </c>
    </row>
    <row r="496" ht="15.0" customHeight="1">
      <c r="A496" s="35" t="s">
        <v>657</v>
      </c>
      <c r="B496" s="36" t="s">
        <v>19</v>
      </c>
      <c r="C496" s="37">
        <v>24.0</v>
      </c>
      <c r="D496" s="30">
        <v>8.714800025898E12</v>
      </c>
      <c r="E496" s="38">
        <v>1.35</v>
      </c>
      <c r="F496" s="32">
        <v>32.4</v>
      </c>
      <c r="G496" s="33"/>
      <c r="H496" s="39">
        <f t="shared" si="51"/>
        <v>0</v>
      </c>
    </row>
    <row r="497" ht="15.0" customHeight="1">
      <c r="A497" s="35" t="s">
        <v>658</v>
      </c>
      <c r="B497" s="36" t="s">
        <v>19</v>
      </c>
      <c r="C497" s="37">
        <v>24.0</v>
      </c>
      <c r="D497" s="30">
        <v>8.714800026949E12</v>
      </c>
      <c r="E497" s="38">
        <v>1.35</v>
      </c>
      <c r="F497" s="32">
        <v>32.4</v>
      </c>
      <c r="G497" s="33"/>
      <c r="H497" s="39">
        <f t="shared" si="51"/>
        <v>0</v>
      </c>
    </row>
    <row r="498" ht="15.0" customHeight="1">
      <c r="A498" s="35" t="s">
        <v>659</v>
      </c>
      <c r="B498" s="36" t="s">
        <v>19</v>
      </c>
      <c r="C498" s="37">
        <v>24.0</v>
      </c>
      <c r="D498" s="30">
        <v>8.714800050098E12</v>
      </c>
      <c r="E498" s="38">
        <v>1.4</v>
      </c>
      <c r="F498" s="32">
        <v>33.6</v>
      </c>
      <c r="G498" s="33"/>
      <c r="H498" s="39">
        <f t="shared" si="51"/>
        <v>0</v>
      </c>
    </row>
    <row r="499" ht="15.0" customHeight="1">
      <c r="A499" s="35" t="s">
        <v>660</v>
      </c>
      <c r="B499" s="36" t="s">
        <v>19</v>
      </c>
      <c r="C499" s="37">
        <v>24.0</v>
      </c>
      <c r="D499" s="30" t="s">
        <v>661</v>
      </c>
      <c r="E499" s="38">
        <v>1.4</v>
      </c>
      <c r="F499" s="32">
        <v>33.6</v>
      </c>
      <c r="G499" s="33"/>
      <c r="H499" s="39">
        <f t="shared" si="51"/>
        <v>0</v>
      </c>
    </row>
    <row r="500" ht="15.0" customHeight="1">
      <c r="A500" s="35" t="s">
        <v>662</v>
      </c>
      <c r="B500" s="36" t="s">
        <v>19</v>
      </c>
      <c r="C500" s="37">
        <v>24.0</v>
      </c>
      <c r="D500" s="30">
        <v>5.410783010595E12</v>
      </c>
      <c r="E500" s="38">
        <v>1.55</v>
      </c>
      <c r="F500" s="32">
        <v>37.2</v>
      </c>
      <c r="G500" s="33"/>
      <c r="H500" s="39">
        <f t="shared" si="51"/>
        <v>0</v>
      </c>
    </row>
    <row r="501" ht="15.0" customHeight="1">
      <c r="A501" s="35" t="s">
        <v>663</v>
      </c>
      <c r="B501" s="36" t="s">
        <v>19</v>
      </c>
      <c r="C501" s="37">
        <v>24.0</v>
      </c>
      <c r="D501" s="30">
        <v>5.056025440449E12</v>
      </c>
      <c r="E501" s="38">
        <v>2.05</v>
      </c>
      <c r="F501" s="32">
        <v>49.2</v>
      </c>
      <c r="G501" s="33"/>
      <c r="H501" s="39">
        <f t="shared" si="51"/>
        <v>0</v>
      </c>
    </row>
    <row r="502" ht="15.0" customHeight="1">
      <c r="A502" s="35" t="s">
        <v>664</v>
      </c>
      <c r="B502" s="36" t="s">
        <v>19</v>
      </c>
      <c r="C502" s="37">
        <v>24.0</v>
      </c>
      <c r="D502" s="30" t="s">
        <v>665</v>
      </c>
      <c r="E502" s="38">
        <v>1.05</v>
      </c>
      <c r="F502" s="32">
        <v>25.2</v>
      </c>
      <c r="G502" s="33"/>
      <c r="H502" s="39">
        <f t="shared" si="51"/>
        <v>0</v>
      </c>
    </row>
    <row r="503" ht="15.0" customHeight="1">
      <c r="A503" s="35" t="s">
        <v>666</v>
      </c>
      <c r="B503" s="36" t="s">
        <v>132</v>
      </c>
      <c r="C503" s="37">
        <v>24.0</v>
      </c>
      <c r="D503" s="30" t="s">
        <v>667</v>
      </c>
      <c r="E503" s="38">
        <v>0.75</v>
      </c>
      <c r="F503" s="32">
        <v>18.0</v>
      </c>
      <c r="G503" s="33"/>
      <c r="H503" s="39">
        <f t="shared" si="51"/>
        <v>0</v>
      </c>
    </row>
    <row r="504" ht="15.0" customHeight="1">
      <c r="A504" s="35" t="s">
        <v>668</v>
      </c>
      <c r="B504" s="36" t="s">
        <v>19</v>
      </c>
      <c r="C504" s="37">
        <v>24.0</v>
      </c>
      <c r="D504" s="30" t="s">
        <v>669</v>
      </c>
      <c r="E504" s="38">
        <v>1.65</v>
      </c>
      <c r="F504" s="32">
        <v>39.6</v>
      </c>
      <c r="G504" s="33"/>
      <c r="H504" s="39">
        <f t="shared" si="51"/>
        <v>0</v>
      </c>
    </row>
    <row r="505" ht="15.0" customHeight="1">
      <c r="A505" s="35" t="s">
        <v>670</v>
      </c>
      <c r="B505" s="36" t="s">
        <v>19</v>
      </c>
      <c r="C505" s="37">
        <v>24.0</v>
      </c>
      <c r="D505" s="30" t="s">
        <v>671</v>
      </c>
      <c r="E505" s="38">
        <v>1.1</v>
      </c>
      <c r="F505" s="32">
        <v>26.4</v>
      </c>
      <c r="G505" s="33"/>
      <c r="H505" s="39">
        <f t="shared" si="51"/>
        <v>0</v>
      </c>
    </row>
    <row r="506" ht="15.0" customHeight="1">
      <c r="A506" s="35" t="s">
        <v>672</v>
      </c>
      <c r="B506" s="36" t="s">
        <v>132</v>
      </c>
      <c r="C506" s="37">
        <v>24.0</v>
      </c>
      <c r="D506" s="30">
        <v>3.080210000707E12</v>
      </c>
      <c r="E506" s="38">
        <v>0.65</v>
      </c>
      <c r="F506" s="32">
        <v>15.6</v>
      </c>
      <c r="G506" s="33"/>
      <c r="H506" s="39">
        <f t="shared" si="51"/>
        <v>0</v>
      </c>
    </row>
    <row r="507" ht="15.0" customHeight="1">
      <c r="A507" s="35" t="s">
        <v>672</v>
      </c>
      <c r="B507" s="36" t="s">
        <v>19</v>
      </c>
      <c r="C507" s="37">
        <v>24.0</v>
      </c>
      <c r="D507" s="30">
        <v>3.08021604321E12</v>
      </c>
      <c r="E507" s="38">
        <v>0.85</v>
      </c>
      <c r="F507" s="32">
        <v>20.4</v>
      </c>
      <c r="G507" s="33"/>
      <c r="H507" s="39">
        <f t="shared" si="51"/>
        <v>0</v>
      </c>
    </row>
    <row r="508" ht="15.0" customHeight="1">
      <c r="A508" s="35" t="s">
        <v>673</v>
      </c>
      <c r="B508" s="36" t="s">
        <v>19</v>
      </c>
      <c r="C508" s="37">
        <v>24.0</v>
      </c>
      <c r="D508" s="30">
        <v>3.080216017785E12</v>
      </c>
      <c r="E508" s="38">
        <v>1.07</v>
      </c>
      <c r="F508" s="32">
        <v>25.68</v>
      </c>
      <c r="G508" s="33"/>
      <c r="H508" s="39">
        <f t="shared" si="51"/>
        <v>0</v>
      </c>
    </row>
    <row r="509" ht="15.0" customHeight="1">
      <c r="A509" s="35" t="s">
        <v>674</v>
      </c>
      <c r="B509" s="36" t="s">
        <v>19</v>
      </c>
      <c r="C509" s="37">
        <v>24.0</v>
      </c>
      <c r="D509" s="30">
        <v>3.261570008934E12</v>
      </c>
      <c r="E509" s="38">
        <v>1.7</v>
      </c>
      <c r="F509" s="32">
        <v>40.8</v>
      </c>
      <c r="G509" s="33"/>
      <c r="H509" s="39">
        <f t="shared" si="51"/>
        <v>0</v>
      </c>
    </row>
    <row r="510" ht="15.0" customHeight="1">
      <c r="A510" s="35" t="s">
        <v>675</v>
      </c>
      <c r="B510" s="36" t="s">
        <v>19</v>
      </c>
      <c r="C510" s="37">
        <v>24.0</v>
      </c>
      <c r="D510" s="30">
        <v>5.4121860029E12</v>
      </c>
      <c r="E510" s="38">
        <v>2.35</v>
      </c>
      <c r="F510" s="32">
        <v>56.4</v>
      </c>
      <c r="G510" s="33"/>
      <c r="H510" s="39">
        <f t="shared" si="51"/>
        <v>0</v>
      </c>
    </row>
    <row r="511" ht="15.0" customHeight="1">
      <c r="A511" s="35" t="s">
        <v>676</v>
      </c>
      <c r="B511" s="36" t="s">
        <v>19</v>
      </c>
      <c r="C511" s="37">
        <v>24.0</v>
      </c>
      <c r="D511" s="30">
        <v>5.412186005789E12</v>
      </c>
      <c r="E511" s="38">
        <v>2.35</v>
      </c>
      <c r="F511" s="32">
        <v>56.4</v>
      </c>
      <c r="G511" s="33"/>
      <c r="H511" s="39">
        <f t="shared" si="51"/>
        <v>0</v>
      </c>
    </row>
    <row r="512" ht="15.0" customHeight="1">
      <c r="A512" s="35" t="s">
        <v>677</v>
      </c>
      <c r="B512" s="36" t="s">
        <v>19</v>
      </c>
      <c r="C512" s="37">
        <v>24.0</v>
      </c>
      <c r="D512" s="30">
        <v>3.261570003847E12</v>
      </c>
      <c r="E512" s="38">
        <v>1.4</v>
      </c>
      <c r="F512" s="32">
        <v>33.6</v>
      </c>
      <c r="G512" s="33"/>
      <c r="H512" s="39">
        <f t="shared" si="51"/>
        <v>0</v>
      </c>
    </row>
    <row r="513" ht="15.0" customHeight="1">
      <c r="A513" s="35" t="s">
        <v>678</v>
      </c>
      <c r="B513" s="36" t="s">
        <v>19</v>
      </c>
      <c r="C513" s="37">
        <v>24.0</v>
      </c>
      <c r="D513" s="30">
        <v>3.261570005315E12</v>
      </c>
      <c r="E513" s="38">
        <v>1.4</v>
      </c>
      <c r="F513" s="32">
        <v>33.6</v>
      </c>
      <c r="G513" s="33"/>
      <c r="H513" s="39">
        <f t="shared" si="51"/>
        <v>0</v>
      </c>
    </row>
    <row r="514" ht="15.0" customHeight="1">
      <c r="A514" s="35" t="s">
        <v>679</v>
      </c>
      <c r="B514" s="36" t="s">
        <v>19</v>
      </c>
      <c r="C514" s="37">
        <v>24.0</v>
      </c>
      <c r="D514" s="30">
        <v>3.261570007739E12</v>
      </c>
      <c r="E514" s="38">
        <v>1.7</v>
      </c>
      <c r="F514" s="32">
        <v>40.8</v>
      </c>
      <c r="G514" s="33"/>
      <c r="H514" s="39">
        <f t="shared" si="51"/>
        <v>0</v>
      </c>
    </row>
    <row r="515" ht="15.0" customHeight="1">
      <c r="A515" s="35" t="s">
        <v>680</v>
      </c>
      <c r="B515" s="36" t="s">
        <v>19</v>
      </c>
      <c r="C515" s="37">
        <v>24.0</v>
      </c>
      <c r="D515" s="30" t="s">
        <v>681</v>
      </c>
      <c r="E515" s="38">
        <v>1.35</v>
      </c>
      <c r="F515" s="32">
        <v>32.4</v>
      </c>
      <c r="G515" s="33"/>
      <c r="H515" s="39">
        <f t="shared" si="51"/>
        <v>0</v>
      </c>
    </row>
    <row r="516" ht="15.0" customHeight="1">
      <c r="A516" s="35" t="s">
        <v>682</v>
      </c>
      <c r="B516" s="36" t="s">
        <v>19</v>
      </c>
      <c r="C516" s="37">
        <v>24.0</v>
      </c>
      <c r="D516" s="30">
        <v>3.261570007296E12</v>
      </c>
      <c r="E516" s="38">
        <v>1.57</v>
      </c>
      <c r="F516" s="32">
        <v>37.68</v>
      </c>
      <c r="G516" s="33"/>
      <c r="H516" s="39">
        <f t="shared" si="51"/>
        <v>0</v>
      </c>
    </row>
    <row r="517" ht="15.0" customHeight="1">
      <c r="A517" s="35" t="s">
        <v>683</v>
      </c>
      <c r="B517" s="36" t="s">
        <v>19</v>
      </c>
      <c r="C517" s="37">
        <v>24.0</v>
      </c>
      <c r="D517" s="30">
        <v>3.347970000478E12</v>
      </c>
      <c r="E517" s="38">
        <v>1.67</v>
      </c>
      <c r="F517" s="32">
        <v>40.08</v>
      </c>
      <c r="G517" s="33"/>
      <c r="H517" s="39">
        <f t="shared" si="51"/>
        <v>0</v>
      </c>
    </row>
    <row r="518" ht="15.0" customHeight="1">
      <c r="A518" s="35" t="s">
        <v>684</v>
      </c>
      <c r="B518" s="36" t="s">
        <v>19</v>
      </c>
      <c r="C518" s="37">
        <v>24.0</v>
      </c>
      <c r="D518" s="30">
        <v>3.261570005643E12</v>
      </c>
      <c r="E518" s="38">
        <v>1.45</v>
      </c>
      <c r="F518" s="32">
        <v>34.8</v>
      </c>
      <c r="G518" s="33"/>
      <c r="H518" s="39">
        <f t="shared" si="51"/>
        <v>0</v>
      </c>
    </row>
    <row r="519" ht="15.0" customHeight="1">
      <c r="A519" s="35" t="s">
        <v>685</v>
      </c>
      <c r="B519" s="36" t="s">
        <v>19</v>
      </c>
      <c r="C519" s="37">
        <v>24.0</v>
      </c>
      <c r="D519" s="30">
        <v>3.261570003274E12</v>
      </c>
      <c r="E519" s="38">
        <v>1.65</v>
      </c>
      <c r="F519" s="32">
        <v>39.6</v>
      </c>
      <c r="G519" s="33"/>
      <c r="H519" s="39">
        <f t="shared" si="51"/>
        <v>0</v>
      </c>
    </row>
    <row r="520" ht="15.0" customHeight="1">
      <c r="A520" s="35" t="s">
        <v>686</v>
      </c>
      <c r="B520" s="36" t="s">
        <v>19</v>
      </c>
      <c r="C520" s="37">
        <v>18.0</v>
      </c>
      <c r="D520" s="30">
        <v>3.291820013241E12</v>
      </c>
      <c r="E520" s="38">
        <v>1.55</v>
      </c>
      <c r="F520" s="32">
        <v>27.9</v>
      </c>
      <c r="G520" s="33"/>
      <c r="H520" s="39">
        <f t="shared" si="51"/>
        <v>0</v>
      </c>
    </row>
    <row r="521" ht="15.0" customHeight="1">
      <c r="A521" s="35" t="s">
        <v>687</v>
      </c>
      <c r="B521" s="36" t="s">
        <v>19</v>
      </c>
      <c r="C521" s="37">
        <v>24.0</v>
      </c>
      <c r="D521" s="30">
        <v>3.080210008116E12</v>
      </c>
      <c r="E521" s="38">
        <v>1.45</v>
      </c>
      <c r="F521" s="32">
        <v>34.8</v>
      </c>
      <c r="G521" s="33"/>
      <c r="H521" s="39">
        <f t="shared" si="51"/>
        <v>0</v>
      </c>
    </row>
    <row r="522" ht="15.0" customHeight="1">
      <c r="A522" s="35" t="s">
        <v>688</v>
      </c>
      <c r="B522" s="36" t="s">
        <v>19</v>
      </c>
      <c r="C522" s="37">
        <v>24.0</v>
      </c>
      <c r="D522" s="30">
        <v>5.410228222941E12</v>
      </c>
      <c r="E522" s="38">
        <v>1.45</v>
      </c>
      <c r="F522" s="32">
        <v>34.8</v>
      </c>
      <c r="G522" s="33"/>
      <c r="H522" s="39">
        <f t="shared" si="51"/>
        <v>0</v>
      </c>
    </row>
    <row r="523" ht="15.0" customHeight="1">
      <c r="A523" s="35" t="s">
        <v>689</v>
      </c>
      <c r="B523" s="36" t="s">
        <v>19</v>
      </c>
      <c r="C523" s="37">
        <v>24.0</v>
      </c>
      <c r="D523" s="30">
        <v>5.410228213451E12</v>
      </c>
      <c r="E523" s="38">
        <v>1.85</v>
      </c>
      <c r="F523" s="32">
        <v>44.4</v>
      </c>
      <c r="G523" s="33"/>
      <c r="H523" s="39">
        <f t="shared" si="51"/>
        <v>0</v>
      </c>
    </row>
    <row r="524" ht="15.0" customHeight="1">
      <c r="A524" s="35" t="s">
        <v>690</v>
      </c>
      <c r="B524" s="36" t="s">
        <v>19</v>
      </c>
      <c r="C524" s="37">
        <v>18.0</v>
      </c>
      <c r="D524" s="30">
        <v>3.291820012251E12</v>
      </c>
      <c r="E524" s="38">
        <v>1.5</v>
      </c>
      <c r="F524" s="32">
        <v>27.0</v>
      </c>
      <c r="G524" s="33"/>
      <c r="H524" s="39">
        <f t="shared" si="51"/>
        <v>0</v>
      </c>
    </row>
    <row r="525" ht="15.0" customHeight="1">
      <c r="A525" s="35" t="s">
        <v>691</v>
      </c>
      <c r="B525" s="36" t="s">
        <v>19</v>
      </c>
      <c r="C525" s="37">
        <v>18.0</v>
      </c>
      <c r="D525" s="30">
        <v>3.29182001293E12</v>
      </c>
      <c r="E525" s="38">
        <v>1.7</v>
      </c>
      <c r="F525" s="32">
        <v>30.6</v>
      </c>
      <c r="G525" s="33"/>
      <c r="H525" s="39">
        <f t="shared" si="51"/>
        <v>0</v>
      </c>
    </row>
    <row r="526" ht="15.0" customHeight="1">
      <c r="A526" s="35" t="s">
        <v>692</v>
      </c>
      <c r="B526" s="36" t="s">
        <v>19</v>
      </c>
      <c r="C526" s="37">
        <v>18.0</v>
      </c>
      <c r="D526" s="30">
        <v>3.291820014408E12</v>
      </c>
      <c r="E526" s="38">
        <v>1.8</v>
      </c>
      <c r="F526" s="32">
        <v>32.4</v>
      </c>
      <c r="G526" s="33"/>
      <c r="H526" s="39">
        <f t="shared" si="51"/>
        <v>0</v>
      </c>
    </row>
    <row r="527" ht="15.0" customHeight="1">
      <c r="A527" s="35" t="s">
        <v>693</v>
      </c>
      <c r="B527" s="36" t="s">
        <v>19</v>
      </c>
      <c r="C527" s="37">
        <v>24.0</v>
      </c>
      <c r="D527" s="30">
        <v>5.410769800172E12</v>
      </c>
      <c r="E527" s="38">
        <v>2.3</v>
      </c>
      <c r="F527" s="32">
        <v>55.2</v>
      </c>
      <c r="G527" s="33"/>
      <c r="H527" s="39">
        <f t="shared" si="51"/>
        <v>0</v>
      </c>
    </row>
    <row r="528" ht="15.0" customHeight="1">
      <c r="A528" s="35" t="s">
        <v>694</v>
      </c>
      <c r="B528" s="36" t="s">
        <v>19</v>
      </c>
      <c r="C528" s="37">
        <v>24.0</v>
      </c>
      <c r="D528" s="30">
        <v>5.41076980053E12</v>
      </c>
      <c r="E528" s="38">
        <v>2.5</v>
      </c>
      <c r="F528" s="32">
        <v>60.0</v>
      </c>
      <c r="G528" s="33"/>
      <c r="H528" s="39">
        <f t="shared" si="51"/>
        <v>0</v>
      </c>
    </row>
    <row r="529" ht="15.0" customHeight="1">
      <c r="A529" s="27" t="s">
        <v>695</v>
      </c>
      <c r="B529" s="28"/>
      <c r="C529" s="29"/>
      <c r="D529" s="30"/>
      <c r="E529" s="31"/>
      <c r="F529" s="32"/>
      <c r="G529" s="33"/>
      <c r="H529" s="39"/>
    </row>
    <row r="530" ht="15.0" customHeight="1">
      <c r="A530" s="120" t="s">
        <v>696</v>
      </c>
      <c r="B530" s="36" t="s">
        <v>697</v>
      </c>
      <c r="C530" s="37">
        <v>6.0</v>
      </c>
      <c r="D530" s="30">
        <v>3.261570003847E12</v>
      </c>
      <c r="E530" s="38">
        <v>2.15</v>
      </c>
      <c r="F530" s="32">
        <v>12.9</v>
      </c>
      <c r="G530" s="33"/>
      <c r="H530" s="39">
        <f t="shared" ref="H530:H537" si="52">G530*F530</f>
        <v>0</v>
      </c>
    </row>
    <row r="531" ht="15.0" customHeight="1">
      <c r="A531" s="120" t="s">
        <v>698</v>
      </c>
      <c r="B531" s="36" t="s">
        <v>697</v>
      </c>
      <c r="C531" s="37">
        <v>6.0</v>
      </c>
      <c r="D531" s="30">
        <v>3.261570004196E12</v>
      </c>
      <c r="E531" s="38">
        <v>2.4</v>
      </c>
      <c r="F531" s="32">
        <v>14.4</v>
      </c>
      <c r="G531" s="33"/>
      <c r="H531" s="39">
        <f t="shared" si="52"/>
        <v>0</v>
      </c>
    </row>
    <row r="532" ht="15.0" customHeight="1">
      <c r="A532" s="120" t="s">
        <v>699</v>
      </c>
      <c r="B532" s="36" t="s">
        <v>697</v>
      </c>
      <c r="C532" s="37">
        <v>6.0</v>
      </c>
      <c r="D532" s="30">
        <v>3.261570007401E12</v>
      </c>
      <c r="E532" s="38">
        <v>3.15</v>
      </c>
      <c r="F532" s="32">
        <v>18.9</v>
      </c>
      <c r="G532" s="33"/>
      <c r="H532" s="39">
        <f t="shared" si="52"/>
        <v>0</v>
      </c>
    </row>
    <row r="533" ht="15.0" customHeight="1">
      <c r="A533" s="120" t="s">
        <v>700</v>
      </c>
      <c r="B533" s="36" t="s">
        <v>697</v>
      </c>
      <c r="C533" s="37">
        <v>6.0</v>
      </c>
      <c r="D533" s="30">
        <v>3.261570007845E12</v>
      </c>
      <c r="E533" s="38">
        <v>3.15</v>
      </c>
      <c r="F533" s="32">
        <v>18.9</v>
      </c>
      <c r="G533" s="33"/>
      <c r="H533" s="39">
        <f t="shared" si="52"/>
        <v>0</v>
      </c>
    </row>
    <row r="534" ht="15.0" customHeight="1">
      <c r="A534" s="120" t="s">
        <v>701</v>
      </c>
      <c r="B534" s="36" t="s">
        <v>697</v>
      </c>
      <c r="C534" s="37">
        <v>6.0</v>
      </c>
      <c r="D534" s="30" t="s">
        <v>702</v>
      </c>
      <c r="E534" s="38">
        <v>2.45</v>
      </c>
      <c r="F534" s="32">
        <v>14.7</v>
      </c>
      <c r="G534" s="33"/>
      <c r="H534" s="39">
        <f t="shared" si="52"/>
        <v>0</v>
      </c>
    </row>
    <row r="535" ht="15.0" customHeight="1">
      <c r="A535" s="120" t="s">
        <v>703</v>
      </c>
      <c r="B535" s="36" t="s">
        <v>697</v>
      </c>
      <c r="C535" s="37">
        <v>6.0</v>
      </c>
      <c r="D535" s="30">
        <v>3.261570007029E12</v>
      </c>
      <c r="E535" s="38">
        <v>2.95</v>
      </c>
      <c r="F535" s="32">
        <v>17.7</v>
      </c>
      <c r="G535" s="33"/>
      <c r="H535" s="39">
        <f t="shared" si="52"/>
        <v>0</v>
      </c>
    </row>
    <row r="536" ht="15.0" customHeight="1">
      <c r="A536" s="120" t="s">
        <v>704</v>
      </c>
      <c r="B536" s="36" t="s">
        <v>697</v>
      </c>
      <c r="C536" s="37">
        <v>6.0</v>
      </c>
      <c r="D536" s="30">
        <v>3.261570003458E12</v>
      </c>
      <c r="E536" s="38">
        <v>3.3</v>
      </c>
      <c r="F536" s="32">
        <v>19.8</v>
      </c>
      <c r="G536" s="33"/>
      <c r="H536" s="39">
        <f t="shared" si="52"/>
        <v>0</v>
      </c>
    </row>
    <row r="537" ht="15.0" customHeight="1">
      <c r="A537" s="120" t="s">
        <v>705</v>
      </c>
      <c r="B537" s="36" t="s">
        <v>697</v>
      </c>
      <c r="C537" s="37">
        <v>6.0</v>
      </c>
      <c r="D537" s="30">
        <v>3.261570006329E12</v>
      </c>
      <c r="E537" s="38">
        <v>3.4</v>
      </c>
      <c r="F537" s="32">
        <v>20.4</v>
      </c>
      <c r="G537" s="33"/>
      <c r="H537" s="39">
        <f t="shared" si="52"/>
        <v>0</v>
      </c>
    </row>
    <row r="538" ht="15.0" customHeight="1">
      <c r="A538" s="35"/>
      <c r="B538" s="36"/>
      <c r="C538" s="37"/>
      <c r="D538" s="30"/>
      <c r="E538" s="31"/>
      <c r="F538" s="32"/>
      <c r="G538" s="33"/>
      <c r="H538" s="39"/>
    </row>
    <row r="539" ht="15.0" customHeight="1">
      <c r="A539" s="35" t="s">
        <v>706</v>
      </c>
      <c r="B539" s="36" t="s">
        <v>697</v>
      </c>
      <c r="C539" s="37">
        <v>6.0</v>
      </c>
      <c r="D539" s="30" t="s">
        <v>707</v>
      </c>
      <c r="E539" s="38">
        <v>3.25</v>
      </c>
      <c r="F539" s="32">
        <v>19.5</v>
      </c>
      <c r="G539" s="33"/>
      <c r="H539" s="39">
        <f t="shared" ref="H539:H543" si="53">G539*F539</f>
        <v>0</v>
      </c>
    </row>
    <row r="540" ht="15.0" customHeight="1">
      <c r="A540" s="35" t="s">
        <v>708</v>
      </c>
      <c r="B540" s="36" t="s">
        <v>697</v>
      </c>
      <c r="C540" s="37">
        <v>6.0</v>
      </c>
      <c r="D540" s="30">
        <v>3.760138361509E12</v>
      </c>
      <c r="E540" s="38">
        <v>3.35</v>
      </c>
      <c r="F540" s="32">
        <v>20.1</v>
      </c>
      <c r="G540" s="33"/>
      <c r="H540" s="39">
        <f t="shared" si="53"/>
        <v>0</v>
      </c>
    </row>
    <row r="541" ht="15.0" customHeight="1">
      <c r="A541" s="35" t="s">
        <v>709</v>
      </c>
      <c r="B541" s="36" t="s">
        <v>697</v>
      </c>
      <c r="C541" s="37">
        <v>6.0</v>
      </c>
      <c r="D541" s="30" t="s">
        <v>710</v>
      </c>
      <c r="E541" s="38">
        <v>3.75</v>
      </c>
      <c r="F541" s="32">
        <v>22.5</v>
      </c>
      <c r="G541" s="33"/>
      <c r="H541" s="39">
        <f t="shared" si="53"/>
        <v>0</v>
      </c>
    </row>
    <row r="542" ht="15.0" customHeight="1">
      <c r="A542" s="35" t="s">
        <v>711</v>
      </c>
      <c r="B542" s="36" t="s">
        <v>697</v>
      </c>
      <c r="C542" s="37">
        <v>6.0</v>
      </c>
      <c r="D542" s="30">
        <v>3.760138351968E12</v>
      </c>
      <c r="E542" s="38">
        <v>4.05</v>
      </c>
      <c r="F542" s="32">
        <v>24.3</v>
      </c>
      <c r="G542" s="33"/>
      <c r="H542" s="39">
        <f t="shared" si="53"/>
        <v>0</v>
      </c>
    </row>
    <row r="543" ht="15.0" customHeight="1">
      <c r="A543" s="35" t="s">
        <v>712</v>
      </c>
      <c r="B543" s="36" t="s">
        <v>697</v>
      </c>
      <c r="C543" s="37">
        <v>12.0</v>
      </c>
      <c r="D543" s="30">
        <v>3.291820013807E12</v>
      </c>
      <c r="E543" s="38">
        <v>3.3</v>
      </c>
      <c r="F543" s="32">
        <v>39.6</v>
      </c>
      <c r="G543" s="33"/>
      <c r="H543" s="39">
        <f t="shared" si="53"/>
        <v>0</v>
      </c>
    </row>
    <row r="544" ht="15.0" customHeight="1">
      <c r="A544" s="35"/>
      <c r="B544" s="28"/>
      <c r="C544" s="29"/>
      <c r="D544" s="30"/>
      <c r="E544" s="31"/>
      <c r="F544" s="32"/>
      <c r="G544" s="33"/>
      <c r="H544" s="39"/>
    </row>
    <row r="545" ht="15.0" customHeight="1">
      <c r="A545" s="35" t="s">
        <v>713</v>
      </c>
      <c r="B545" s="36" t="s">
        <v>697</v>
      </c>
      <c r="C545" s="37">
        <v>12.0</v>
      </c>
      <c r="D545" s="30">
        <v>3.291820009213E12</v>
      </c>
      <c r="E545" s="38">
        <v>2.95</v>
      </c>
      <c r="F545" s="32">
        <v>35.4</v>
      </c>
      <c r="G545" s="33"/>
      <c r="H545" s="39">
        <f t="shared" ref="H545:H547" si="54">G545*F545</f>
        <v>0</v>
      </c>
    </row>
    <row r="546" ht="15.0" customHeight="1">
      <c r="A546" s="35" t="s">
        <v>714</v>
      </c>
      <c r="B546" s="36" t="s">
        <v>697</v>
      </c>
      <c r="C546" s="37">
        <v>6.0</v>
      </c>
      <c r="D546" s="30">
        <v>3.291820013012E12</v>
      </c>
      <c r="E546" s="38">
        <v>3.35</v>
      </c>
      <c r="F546" s="32">
        <v>20.1</v>
      </c>
      <c r="G546" s="33"/>
      <c r="H546" s="39">
        <f t="shared" si="54"/>
        <v>0</v>
      </c>
    </row>
    <row r="547" ht="15.0" customHeight="1">
      <c r="A547" s="35" t="s">
        <v>715</v>
      </c>
      <c r="B547" s="36" t="s">
        <v>697</v>
      </c>
      <c r="C547" s="37">
        <v>6.0</v>
      </c>
      <c r="D547" s="30">
        <v>3.291820014378E12</v>
      </c>
      <c r="E547" s="38">
        <v>3.35</v>
      </c>
      <c r="F547" s="32">
        <v>20.1</v>
      </c>
      <c r="G547" s="33"/>
      <c r="H547" s="39">
        <f t="shared" si="54"/>
        <v>0</v>
      </c>
    </row>
    <row r="548" ht="15.0" customHeight="1">
      <c r="A548" s="35"/>
      <c r="B548" s="36"/>
      <c r="C548" s="37"/>
      <c r="D548" s="30"/>
      <c r="E548" s="31"/>
      <c r="F548" s="32"/>
      <c r="G548" s="33"/>
      <c r="H548" s="39"/>
    </row>
    <row r="549" ht="15.0" customHeight="1">
      <c r="A549" s="35" t="s">
        <v>716</v>
      </c>
      <c r="B549" s="36" t="s">
        <v>697</v>
      </c>
      <c r="C549" s="37">
        <v>12.0</v>
      </c>
      <c r="D549" s="30">
        <v>5.410908000074E12</v>
      </c>
      <c r="E549" s="38">
        <v>4.15</v>
      </c>
      <c r="F549" s="32">
        <v>49.8</v>
      </c>
      <c r="G549" s="33"/>
      <c r="H549" s="39">
        <f>G549*F549</f>
        <v>0</v>
      </c>
    </row>
    <row r="550" ht="15.0" customHeight="1">
      <c r="A550" s="35"/>
      <c r="B550" s="28"/>
      <c r="C550" s="29"/>
      <c r="D550" s="30"/>
      <c r="E550" s="31"/>
      <c r="F550" s="32"/>
      <c r="G550" s="33"/>
      <c r="H550" s="39"/>
    </row>
    <row r="551" ht="15.0" customHeight="1">
      <c r="A551" s="35" t="s">
        <v>717</v>
      </c>
      <c r="B551" s="36" t="s">
        <v>697</v>
      </c>
      <c r="C551" s="37">
        <v>12.0</v>
      </c>
      <c r="D551" s="30">
        <v>5.410769100098E12</v>
      </c>
      <c r="E551" s="38">
        <v>3.9</v>
      </c>
      <c r="F551" s="32">
        <v>46.8</v>
      </c>
      <c r="G551" s="33"/>
      <c r="H551" s="39">
        <f t="shared" ref="H551:H555" si="55">G551*F551</f>
        <v>0</v>
      </c>
    </row>
    <row r="552" ht="15.0" customHeight="1">
      <c r="A552" s="35" t="s">
        <v>718</v>
      </c>
      <c r="B552" s="36" t="s">
        <v>697</v>
      </c>
      <c r="C552" s="37">
        <v>12.0</v>
      </c>
      <c r="D552" s="30">
        <v>5.410769800554E12</v>
      </c>
      <c r="E552" s="38">
        <v>3.95</v>
      </c>
      <c r="F552" s="32">
        <v>47.4</v>
      </c>
      <c r="G552" s="33"/>
      <c r="H552" s="39">
        <f t="shared" si="55"/>
        <v>0</v>
      </c>
    </row>
    <row r="553" ht="15.0" customHeight="1">
      <c r="A553" s="35" t="s">
        <v>719</v>
      </c>
      <c r="B553" s="36" t="s">
        <v>697</v>
      </c>
      <c r="C553" s="37">
        <v>12.0</v>
      </c>
      <c r="D553" s="30">
        <v>5.410769300115E12</v>
      </c>
      <c r="E553" s="38">
        <v>4.75</v>
      </c>
      <c r="F553" s="32">
        <v>57.0</v>
      </c>
      <c r="G553" s="33"/>
      <c r="H553" s="39">
        <f t="shared" si="55"/>
        <v>0</v>
      </c>
    </row>
    <row r="554" ht="15.0" customHeight="1">
      <c r="A554" s="35" t="s">
        <v>720</v>
      </c>
      <c r="B554" s="36" t="s">
        <v>697</v>
      </c>
      <c r="C554" s="37">
        <v>12.0</v>
      </c>
      <c r="D554" s="30">
        <v>5.410769200095E12</v>
      </c>
      <c r="E554" s="38">
        <v>4.15</v>
      </c>
      <c r="F554" s="32">
        <v>49.8</v>
      </c>
      <c r="G554" s="33"/>
      <c r="H554" s="39">
        <f t="shared" si="55"/>
        <v>0</v>
      </c>
    </row>
    <row r="555" ht="15.0" customHeight="1">
      <c r="A555" s="35" t="s">
        <v>721</v>
      </c>
      <c r="B555" s="36" t="s">
        <v>589</v>
      </c>
      <c r="C555" s="37">
        <v>6.0</v>
      </c>
      <c r="D555" s="30">
        <v>5.410769100999E12</v>
      </c>
      <c r="E555" s="38">
        <v>10.5</v>
      </c>
      <c r="F555" s="32">
        <v>63.0</v>
      </c>
      <c r="G555" s="33"/>
      <c r="H555" s="39">
        <f t="shared" si="55"/>
        <v>0</v>
      </c>
    </row>
    <row r="556" ht="15.0" customHeight="1">
      <c r="A556" s="35"/>
      <c r="B556" s="28"/>
      <c r="C556" s="29"/>
      <c r="D556" s="30"/>
      <c r="E556" s="31"/>
      <c r="F556" s="32"/>
      <c r="G556" s="33"/>
      <c r="H556" s="39"/>
    </row>
    <row r="557" ht="15.0" customHeight="1">
      <c r="A557" s="35" t="s">
        <v>722</v>
      </c>
      <c r="B557" s="36" t="s">
        <v>697</v>
      </c>
      <c r="C557" s="37">
        <v>12.0</v>
      </c>
      <c r="D557" s="30">
        <v>5.411681402635E12</v>
      </c>
      <c r="E557" s="38">
        <v>4.55</v>
      </c>
      <c r="F557" s="32">
        <v>54.6</v>
      </c>
      <c r="G557" s="33"/>
      <c r="H557" s="39">
        <f t="shared" ref="H557:H558" si="56">G557*F557</f>
        <v>0</v>
      </c>
    </row>
    <row r="558" ht="15.0" customHeight="1">
      <c r="A558" s="35" t="s">
        <v>723</v>
      </c>
      <c r="B558" s="36" t="s">
        <v>697</v>
      </c>
      <c r="C558" s="37">
        <v>12.0</v>
      </c>
      <c r="D558" s="30">
        <v>5.411681405186E12</v>
      </c>
      <c r="E558" s="38">
        <v>5.5</v>
      </c>
      <c r="F558" s="32">
        <v>66.0</v>
      </c>
      <c r="G558" s="33"/>
      <c r="H558" s="39">
        <f t="shared" si="56"/>
        <v>0</v>
      </c>
    </row>
    <row r="559" ht="15.0" customHeight="1">
      <c r="A559" s="35"/>
      <c r="B559" s="28"/>
      <c r="C559" s="29"/>
      <c r="D559" s="30"/>
      <c r="E559" s="31"/>
      <c r="F559" s="32"/>
      <c r="G559" s="33"/>
      <c r="H559" s="39"/>
    </row>
    <row r="560" ht="15.0" customHeight="1">
      <c r="A560" s="35" t="s">
        <v>724</v>
      </c>
      <c r="B560" s="36" t="s">
        <v>697</v>
      </c>
      <c r="C560" s="37">
        <v>12.0</v>
      </c>
      <c r="D560" s="30">
        <v>5.411681035109E12</v>
      </c>
      <c r="E560" s="38">
        <v>3.75</v>
      </c>
      <c r="F560" s="32">
        <v>45.0</v>
      </c>
      <c r="G560" s="33"/>
      <c r="H560" s="39">
        <f t="shared" ref="H560:H561" si="57">G560*F560</f>
        <v>0</v>
      </c>
    </row>
    <row r="561" ht="15.0" customHeight="1">
      <c r="A561" s="35" t="s">
        <v>725</v>
      </c>
      <c r="B561" s="36" t="s">
        <v>697</v>
      </c>
      <c r="C561" s="37">
        <v>12.0</v>
      </c>
      <c r="D561" s="30">
        <v>5.411681038056E12</v>
      </c>
      <c r="E561" s="38">
        <v>4.35</v>
      </c>
      <c r="F561" s="32">
        <v>52.2</v>
      </c>
      <c r="G561" s="33"/>
      <c r="H561" s="39">
        <f t="shared" si="57"/>
        <v>0</v>
      </c>
    </row>
    <row r="562" ht="15.0" customHeight="1">
      <c r="A562" s="35"/>
      <c r="B562" s="28"/>
      <c r="C562" s="29"/>
      <c r="D562" s="30"/>
      <c r="E562" s="31"/>
      <c r="F562" s="32"/>
      <c r="G562" s="33"/>
      <c r="H562" s="39"/>
    </row>
    <row r="563" ht="15.0" customHeight="1">
      <c r="A563" s="35" t="s">
        <v>726</v>
      </c>
      <c r="B563" s="36" t="s">
        <v>727</v>
      </c>
      <c r="C563" s="37">
        <v>12.0</v>
      </c>
      <c r="D563" s="30">
        <v>5.411223006161E12</v>
      </c>
      <c r="E563" s="38">
        <v>2.75</v>
      </c>
      <c r="F563" s="32">
        <v>33.0</v>
      </c>
      <c r="G563" s="33"/>
      <c r="H563" s="39">
        <f t="shared" ref="H563:H564" si="58">G563*F563</f>
        <v>0</v>
      </c>
    </row>
    <row r="564" ht="15.0" customHeight="1">
      <c r="A564" s="35" t="s">
        <v>728</v>
      </c>
      <c r="B564" s="36" t="s">
        <v>727</v>
      </c>
      <c r="C564" s="37">
        <v>12.0</v>
      </c>
      <c r="D564" s="30">
        <v>5.41122310092E12</v>
      </c>
      <c r="E564" s="38">
        <v>3.15</v>
      </c>
      <c r="F564" s="32">
        <v>37.8</v>
      </c>
      <c r="G564" s="33"/>
      <c r="H564" s="39">
        <f t="shared" si="58"/>
        <v>0</v>
      </c>
    </row>
    <row r="565" ht="15.0" customHeight="1">
      <c r="A565" s="35"/>
      <c r="B565" s="28"/>
      <c r="C565" s="29"/>
      <c r="D565" s="30"/>
      <c r="E565" s="31"/>
      <c r="F565" s="32"/>
      <c r="G565" s="33"/>
      <c r="H565" s="39"/>
    </row>
    <row r="566" ht="15.0" customHeight="1">
      <c r="A566" s="35" t="s">
        <v>729</v>
      </c>
      <c r="B566" s="36" t="s">
        <v>697</v>
      </c>
      <c r="C566" s="37">
        <v>6.0</v>
      </c>
      <c r="D566" s="30">
        <v>5.410228222958E12</v>
      </c>
      <c r="E566" s="38">
        <v>2.2</v>
      </c>
      <c r="F566" s="32">
        <v>13.2</v>
      </c>
      <c r="G566" s="33"/>
      <c r="H566" s="39">
        <f t="shared" ref="H566:H567" si="59">G566*F566</f>
        <v>0</v>
      </c>
    </row>
    <row r="567" ht="15.0" customHeight="1">
      <c r="A567" s="35" t="s">
        <v>730</v>
      </c>
      <c r="B567" s="36" t="s">
        <v>697</v>
      </c>
      <c r="C567" s="37">
        <v>6.0</v>
      </c>
      <c r="D567" s="30">
        <v>5.410228195825E12</v>
      </c>
      <c r="E567" s="38">
        <v>2.45</v>
      </c>
      <c r="F567" s="32">
        <v>14.7</v>
      </c>
      <c r="G567" s="33"/>
      <c r="H567" s="39">
        <f t="shared" si="59"/>
        <v>0</v>
      </c>
    </row>
    <row r="568" ht="15.0" customHeight="1">
      <c r="A568" s="35"/>
      <c r="B568" s="28"/>
      <c r="C568" s="29"/>
      <c r="D568" s="30"/>
      <c r="E568" s="31"/>
      <c r="F568" s="32"/>
      <c r="G568" s="33"/>
      <c r="H568" s="39"/>
    </row>
    <row r="569" ht="15.0" customHeight="1">
      <c r="A569" s="35" t="s">
        <v>731</v>
      </c>
      <c r="B569" s="36" t="s">
        <v>697</v>
      </c>
      <c r="C569" s="37">
        <v>6.0</v>
      </c>
      <c r="D569" s="30">
        <v>3.261570009184E12</v>
      </c>
      <c r="E569" s="38">
        <v>3.15</v>
      </c>
      <c r="F569" s="32">
        <v>18.9</v>
      </c>
      <c r="G569" s="33"/>
      <c r="H569" s="39">
        <f t="shared" ref="H569:H577" si="60">G569*F569</f>
        <v>0</v>
      </c>
    </row>
    <row r="570" ht="15.0" customHeight="1">
      <c r="A570" s="35" t="s">
        <v>732</v>
      </c>
      <c r="B570" s="36" t="s">
        <v>697</v>
      </c>
      <c r="C570" s="37">
        <v>12.0</v>
      </c>
      <c r="D570" s="30">
        <v>3.291820013036E12</v>
      </c>
      <c r="E570" s="38">
        <v>3.15</v>
      </c>
      <c r="F570" s="32">
        <v>37.8</v>
      </c>
      <c r="G570" s="33"/>
      <c r="H570" s="39">
        <f t="shared" si="60"/>
        <v>0</v>
      </c>
    </row>
    <row r="571" ht="15.0" customHeight="1">
      <c r="A571" s="35" t="s">
        <v>733</v>
      </c>
      <c r="B571" s="36" t="s">
        <v>697</v>
      </c>
      <c r="C571" s="37">
        <v>6.0</v>
      </c>
      <c r="D571" s="30">
        <v>3.34797000027E12</v>
      </c>
      <c r="E571" s="38">
        <v>3.35</v>
      </c>
      <c r="F571" s="32">
        <v>20.1</v>
      </c>
      <c r="G571" s="33"/>
      <c r="H571" s="39">
        <f t="shared" si="60"/>
        <v>0</v>
      </c>
    </row>
    <row r="572" ht="15.0" customHeight="1">
      <c r="A572" s="35" t="s">
        <v>734</v>
      </c>
      <c r="B572" s="36" t="s">
        <v>727</v>
      </c>
      <c r="C572" s="37">
        <v>12.0</v>
      </c>
      <c r="D572" s="30">
        <v>3.119780268788E12</v>
      </c>
      <c r="E572" s="38">
        <v>1.56</v>
      </c>
      <c r="F572" s="32">
        <v>18.72</v>
      </c>
      <c r="G572" s="33"/>
      <c r="H572" s="39">
        <f t="shared" si="60"/>
        <v>0</v>
      </c>
    </row>
    <row r="573" ht="15.0" customHeight="1">
      <c r="A573" s="35" t="s">
        <v>735</v>
      </c>
      <c r="B573" s="36" t="s">
        <v>727</v>
      </c>
      <c r="C573" s="37">
        <v>12.0</v>
      </c>
      <c r="D573" s="30">
        <v>3.119780266463E12</v>
      </c>
      <c r="E573" s="38">
        <v>2.55</v>
      </c>
      <c r="F573" s="32">
        <v>30.6</v>
      </c>
      <c r="G573" s="33"/>
      <c r="H573" s="39">
        <f t="shared" si="60"/>
        <v>0</v>
      </c>
    </row>
    <row r="574" ht="15.0" customHeight="1">
      <c r="A574" s="35" t="s">
        <v>736</v>
      </c>
      <c r="B574" s="36" t="s">
        <v>697</v>
      </c>
      <c r="C574" s="37">
        <v>6.0</v>
      </c>
      <c r="D574" s="30">
        <v>3.324020303758E12</v>
      </c>
      <c r="E574" s="38">
        <v>2.25</v>
      </c>
      <c r="F574" s="32">
        <v>13.5</v>
      </c>
      <c r="G574" s="33"/>
      <c r="H574" s="39">
        <f t="shared" si="60"/>
        <v>0</v>
      </c>
    </row>
    <row r="575" ht="15.0" customHeight="1">
      <c r="A575" s="35" t="s">
        <v>737</v>
      </c>
      <c r="B575" s="36" t="s">
        <v>697</v>
      </c>
      <c r="C575" s="37">
        <v>6.0</v>
      </c>
      <c r="D575" s="30">
        <v>3.27246012023E12</v>
      </c>
      <c r="E575" s="38">
        <v>2.25</v>
      </c>
      <c r="F575" s="32">
        <v>13.5</v>
      </c>
      <c r="G575" s="33"/>
      <c r="H575" s="39">
        <f t="shared" si="60"/>
        <v>0</v>
      </c>
    </row>
    <row r="576" ht="15.0" customHeight="1">
      <c r="A576" s="35" t="s">
        <v>738</v>
      </c>
      <c r="B576" s="36" t="s">
        <v>697</v>
      </c>
      <c r="C576" s="37">
        <v>6.0</v>
      </c>
      <c r="D576" s="30">
        <v>5.410693100553E12</v>
      </c>
      <c r="E576" s="38">
        <v>3.9</v>
      </c>
      <c r="F576" s="32">
        <v>23.4</v>
      </c>
      <c r="G576" s="33"/>
      <c r="H576" s="39">
        <f t="shared" si="60"/>
        <v>0</v>
      </c>
    </row>
    <row r="577" ht="15.0" customHeight="1">
      <c r="A577" s="35" t="s">
        <v>739</v>
      </c>
      <c r="B577" s="36" t="s">
        <v>697</v>
      </c>
      <c r="C577" s="37">
        <v>6.0</v>
      </c>
      <c r="D577" s="30">
        <v>5.410693100539E12</v>
      </c>
      <c r="E577" s="38">
        <v>3.8</v>
      </c>
      <c r="F577" s="32">
        <v>22.8</v>
      </c>
      <c r="G577" s="33"/>
      <c r="H577" s="39">
        <f t="shared" si="60"/>
        <v>0</v>
      </c>
    </row>
    <row r="578" ht="15.0" customHeight="1">
      <c r="A578" s="27" t="s">
        <v>740</v>
      </c>
      <c r="B578" s="28"/>
      <c r="C578" s="29"/>
      <c r="D578" s="30"/>
      <c r="E578" s="31"/>
      <c r="F578" s="32"/>
      <c r="G578" s="33"/>
      <c r="H578" s="39"/>
    </row>
    <row r="579" ht="15.0" customHeight="1">
      <c r="A579" s="35" t="s">
        <v>741</v>
      </c>
      <c r="B579" s="36" t="s">
        <v>132</v>
      </c>
      <c r="C579" s="37">
        <v>24.0</v>
      </c>
      <c r="D579" s="30">
        <v>3.261570000723E12</v>
      </c>
      <c r="E579" s="38">
        <v>1.15</v>
      </c>
      <c r="F579" s="32">
        <v>27.6</v>
      </c>
      <c r="G579" s="33"/>
      <c r="H579" s="39">
        <f t="shared" ref="H579:H589" si="61">G579*F579</f>
        <v>0</v>
      </c>
    </row>
    <row r="580" ht="15.0" customHeight="1">
      <c r="A580" s="35" t="s">
        <v>742</v>
      </c>
      <c r="B580" s="36" t="s">
        <v>132</v>
      </c>
      <c r="C580" s="37">
        <v>24.0</v>
      </c>
      <c r="D580" s="30">
        <v>3.261570005278E12</v>
      </c>
      <c r="E580" s="38">
        <v>1.25</v>
      </c>
      <c r="F580" s="32">
        <v>30.0</v>
      </c>
      <c r="G580" s="33"/>
      <c r="H580" s="39">
        <f t="shared" si="61"/>
        <v>0</v>
      </c>
    </row>
    <row r="581" ht="15.0" customHeight="1">
      <c r="A581" s="35" t="s">
        <v>743</v>
      </c>
      <c r="B581" s="36" t="s">
        <v>132</v>
      </c>
      <c r="C581" s="37">
        <v>24.0</v>
      </c>
      <c r="D581" s="30">
        <v>3.261570004516E12</v>
      </c>
      <c r="E581" s="38">
        <v>1.4</v>
      </c>
      <c r="F581" s="32">
        <v>33.6</v>
      </c>
      <c r="G581" s="33"/>
      <c r="H581" s="39">
        <f t="shared" si="61"/>
        <v>0</v>
      </c>
    </row>
    <row r="582" ht="15.0" customHeight="1">
      <c r="A582" s="35" t="s">
        <v>744</v>
      </c>
      <c r="B582" s="36" t="s">
        <v>132</v>
      </c>
      <c r="C582" s="37">
        <v>24.0</v>
      </c>
      <c r="D582" s="30">
        <v>5.411681014005E12</v>
      </c>
      <c r="E582" s="38">
        <v>1.5</v>
      </c>
      <c r="F582" s="32">
        <v>36.0</v>
      </c>
      <c r="G582" s="33"/>
      <c r="H582" s="39">
        <f t="shared" si="61"/>
        <v>0</v>
      </c>
    </row>
    <row r="583" ht="15.0" customHeight="1">
      <c r="A583" s="35" t="s">
        <v>745</v>
      </c>
      <c r="B583" s="36" t="s">
        <v>132</v>
      </c>
      <c r="C583" s="37">
        <v>24.0</v>
      </c>
      <c r="D583" s="30">
        <v>5.411681401164E12</v>
      </c>
      <c r="E583" s="38">
        <v>1.95</v>
      </c>
      <c r="F583" s="32">
        <v>46.8</v>
      </c>
      <c r="G583" s="33"/>
      <c r="H583" s="39">
        <f t="shared" si="61"/>
        <v>0</v>
      </c>
    </row>
    <row r="584" ht="15.0" customHeight="1">
      <c r="A584" s="35" t="s">
        <v>746</v>
      </c>
      <c r="B584" s="36" t="s">
        <v>132</v>
      </c>
      <c r="C584" s="37">
        <v>24.0</v>
      </c>
      <c r="D584" s="30">
        <v>5.410769100081E12</v>
      </c>
      <c r="E584" s="38">
        <v>1.6</v>
      </c>
      <c r="F584" s="32">
        <v>38.4</v>
      </c>
      <c r="G584" s="33"/>
      <c r="H584" s="39">
        <f t="shared" si="61"/>
        <v>0</v>
      </c>
    </row>
    <row r="585" ht="15.0" customHeight="1">
      <c r="A585" s="35" t="s">
        <v>747</v>
      </c>
      <c r="B585" s="36" t="s">
        <v>132</v>
      </c>
      <c r="C585" s="37">
        <v>24.0</v>
      </c>
      <c r="D585" s="30">
        <v>5.410769800097E12</v>
      </c>
      <c r="E585" s="38">
        <v>1.75</v>
      </c>
      <c r="F585" s="32">
        <v>42.0</v>
      </c>
      <c r="G585" s="33"/>
      <c r="H585" s="39">
        <f t="shared" si="61"/>
        <v>0</v>
      </c>
    </row>
    <row r="586" ht="15.0" customHeight="1">
      <c r="A586" s="35" t="s">
        <v>748</v>
      </c>
      <c r="B586" s="36" t="s">
        <v>132</v>
      </c>
      <c r="C586" s="37">
        <v>24.0</v>
      </c>
      <c r="D586" s="30">
        <v>3.347970000249E12</v>
      </c>
      <c r="E586" s="38">
        <v>1.45</v>
      </c>
      <c r="F586" s="32">
        <v>34.8</v>
      </c>
      <c r="G586" s="33"/>
      <c r="H586" s="39">
        <f t="shared" si="61"/>
        <v>0</v>
      </c>
    </row>
    <row r="587" ht="15.0" customHeight="1">
      <c r="A587" s="35" t="s">
        <v>749</v>
      </c>
      <c r="B587" s="36" t="s">
        <v>132</v>
      </c>
      <c r="C587" s="37">
        <v>24.0</v>
      </c>
      <c r="D587" s="30">
        <v>5.411081003654E12</v>
      </c>
      <c r="E587" s="38">
        <v>1.7</v>
      </c>
      <c r="F587" s="32">
        <v>40.8</v>
      </c>
      <c r="G587" s="33"/>
      <c r="H587" s="39">
        <f t="shared" si="61"/>
        <v>0</v>
      </c>
    </row>
    <row r="588" ht="15.0" customHeight="1">
      <c r="A588" s="35" t="s">
        <v>750</v>
      </c>
      <c r="B588" s="36" t="s">
        <v>132</v>
      </c>
      <c r="C588" s="37">
        <v>24.0</v>
      </c>
      <c r="D588" s="30">
        <v>5.410908000012E12</v>
      </c>
      <c r="E588" s="38">
        <v>1.6</v>
      </c>
      <c r="F588" s="32">
        <v>38.4</v>
      </c>
      <c r="G588" s="33"/>
      <c r="H588" s="39">
        <f t="shared" si="61"/>
        <v>0</v>
      </c>
    </row>
    <row r="589" ht="15.0" customHeight="1">
      <c r="A589" s="35" t="s">
        <v>751</v>
      </c>
      <c r="B589" s="36" t="s">
        <v>132</v>
      </c>
      <c r="C589" s="37">
        <v>24.0</v>
      </c>
      <c r="D589" s="30">
        <v>5.410908000036E12</v>
      </c>
      <c r="E589" s="38">
        <v>1.9</v>
      </c>
      <c r="F589" s="32">
        <v>45.6</v>
      </c>
      <c r="G589" s="33"/>
      <c r="H589" s="39">
        <f t="shared" si="61"/>
        <v>0</v>
      </c>
    </row>
    <row r="590" ht="15.0" customHeight="1">
      <c r="A590" s="27" t="s">
        <v>752</v>
      </c>
      <c r="B590" s="28"/>
      <c r="C590" s="29"/>
      <c r="D590" s="30"/>
      <c r="E590" s="31"/>
      <c r="F590" s="32"/>
      <c r="G590" s="33"/>
      <c r="H590" s="39"/>
    </row>
    <row r="591" ht="15.0" customHeight="1">
      <c r="A591" s="35" t="s">
        <v>753</v>
      </c>
      <c r="B591" s="36" t="s">
        <v>13</v>
      </c>
      <c r="C591" s="37">
        <v>24.0</v>
      </c>
      <c r="D591" s="30">
        <v>8.714800052559E12</v>
      </c>
      <c r="E591" s="38">
        <v>0.75</v>
      </c>
      <c r="F591" s="32">
        <v>18.0</v>
      </c>
      <c r="G591" s="33"/>
      <c r="H591" s="39">
        <f t="shared" ref="H591:H606" si="62">G591*F591</f>
        <v>0</v>
      </c>
    </row>
    <row r="592" ht="15.0" customHeight="1">
      <c r="A592" s="35" t="s">
        <v>754</v>
      </c>
      <c r="B592" s="36" t="s">
        <v>13</v>
      </c>
      <c r="C592" s="37">
        <v>24.0</v>
      </c>
      <c r="D592" s="30">
        <v>3.26157000916E12</v>
      </c>
      <c r="E592" s="38">
        <v>0.85</v>
      </c>
      <c r="F592" s="32">
        <v>20.4</v>
      </c>
      <c r="G592" s="33"/>
      <c r="H592" s="39">
        <f t="shared" si="62"/>
        <v>0</v>
      </c>
    </row>
    <row r="593" ht="15.0" customHeight="1">
      <c r="A593" s="35" t="s">
        <v>755</v>
      </c>
      <c r="B593" s="36" t="s">
        <v>13</v>
      </c>
      <c r="C593" s="37">
        <v>24.0</v>
      </c>
      <c r="D593" s="30">
        <v>3.261570001546E12</v>
      </c>
      <c r="E593" s="38">
        <v>0.66666</v>
      </c>
      <c r="F593" s="32">
        <v>16.0</v>
      </c>
      <c r="G593" s="33"/>
      <c r="H593" s="39">
        <f t="shared" si="62"/>
        <v>0</v>
      </c>
    </row>
    <row r="594" ht="15.0" customHeight="1">
      <c r="A594" s="35" t="s">
        <v>756</v>
      </c>
      <c r="B594" s="36" t="s">
        <v>13</v>
      </c>
      <c r="C594" s="37">
        <v>24.0</v>
      </c>
      <c r="D594" s="30">
        <v>3.261570004189E12</v>
      </c>
      <c r="E594" s="38">
        <v>0.666666</v>
      </c>
      <c r="F594" s="32">
        <v>16.0</v>
      </c>
      <c r="G594" s="33"/>
      <c r="H594" s="39">
        <f t="shared" si="62"/>
        <v>0</v>
      </c>
    </row>
    <row r="595" ht="15.0" customHeight="1">
      <c r="A595" s="35" t="s">
        <v>757</v>
      </c>
      <c r="B595" s="36" t="s">
        <v>13</v>
      </c>
      <c r="C595" s="37">
        <v>24.0</v>
      </c>
      <c r="D595" s="30">
        <v>3.261570007012E12</v>
      </c>
      <c r="E595" s="38">
        <v>0.8</v>
      </c>
      <c r="F595" s="32">
        <v>19.4</v>
      </c>
      <c r="G595" s="33"/>
      <c r="H595" s="39">
        <f t="shared" si="62"/>
        <v>0</v>
      </c>
    </row>
    <row r="596" ht="15.0" customHeight="1">
      <c r="A596" s="35" t="s">
        <v>758</v>
      </c>
      <c r="B596" s="36" t="s">
        <v>13</v>
      </c>
      <c r="C596" s="37">
        <v>24.0</v>
      </c>
      <c r="D596" s="30">
        <v>3.261570008804E12</v>
      </c>
      <c r="E596" s="38">
        <v>0.791666</v>
      </c>
      <c r="F596" s="32">
        <v>19.0</v>
      </c>
      <c r="G596" s="33"/>
      <c r="H596" s="39">
        <f t="shared" si="62"/>
        <v>0</v>
      </c>
    </row>
    <row r="597" ht="15.0" customHeight="1">
      <c r="A597" s="35" t="s">
        <v>759</v>
      </c>
      <c r="B597" s="36" t="s">
        <v>13</v>
      </c>
      <c r="C597" s="37">
        <v>24.0</v>
      </c>
      <c r="D597" s="30">
        <v>3.261570007005E12</v>
      </c>
      <c r="E597" s="38">
        <v>0.6583333</v>
      </c>
      <c r="F597" s="32">
        <v>15.8</v>
      </c>
      <c r="G597" s="33"/>
      <c r="H597" s="39">
        <f t="shared" si="62"/>
        <v>0</v>
      </c>
    </row>
    <row r="598" ht="15.0" customHeight="1">
      <c r="A598" s="35" t="s">
        <v>760</v>
      </c>
      <c r="B598" s="36" t="s">
        <v>13</v>
      </c>
      <c r="C598" s="37">
        <v>24.0</v>
      </c>
      <c r="D598" s="30">
        <v>3.261570007869E12</v>
      </c>
      <c r="E598" s="38">
        <v>0.791666</v>
      </c>
      <c r="F598" s="32">
        <v>19.0</v>
      </c>
      <c r="G598" s="33"/>
      <c r="H598" s="39">
        <f t="shared" si="62"/>
        <v>0</v>
      </c>
    </row>
    <row r="599" ht="15.0" customHeight="1">
      <c r="A599" s="35" t="s">
        <v>761</v>
      </c>
      <c r="B599" s="36" t="s">
        <v>13</v>
      </c>
      <c r="C599" s="37">
        <v>24.0</v>
      </c>
      <c r="D599" s="30">
        <v>3.261570007883E12</v>
      </c>
      <c r="E599" s="38">
        <v>0.583333</v>
      </c>
      <c r="F599" s="32">
        <v>14.0</v>
      </c>
      <c r="G599" s="33"/>
      <c r="H599" s="39">
        <f t="shared" si="62"/>
        <v>0</v>
      </c>
    </row>
    <row r="600" ht="15.0" customHeight="1">
      <c r="A600" s="35" t="s">
        <v>762</v>
      </c>
      <c r="B600" s="36" t="s">
        <v>13</v>
      </c>
      <c r="C600" s="37">
        <v>24.0</v>
      </c>
      <c r="D600" s="30">
        <v>3.261570008248E12</v>
      </c>
      <c r="E600" s="38">
        <v>0.65</v>
      </c>
      <c r="F600" s="32">
        <v>15.8</v>
      </c>
      <c r="G600" s="33"/>
      <c r="H600" s="39">
        <f t="shared" si="62"/>
        <v>0</v>
      </c>
    </row>
    <row r="601" ht="15.0" customHeight="1">
      <c r="A601" s="35" t="s">
        <v>763</v>
      </c>
      <c r="B601" s="36" t="s">
        <v>13</v>
      </c>
      <c r="C601" s="37">
        <v>20.0</v>
      </c>
      <c r="D601" s="30">
        <v>3.264062400018E12</v>
      </c>
      <c r="E601" s="38">
        <v>0.375</v>
      </c>
      <c r="F601" s="32">
        <v>9.0</v>
      </c>
      <c r="G601" s="33"/>
      <c r="H601" s="39">
        <f t="shared" si="62"/>
        <v>0</v>
      </c>
    </row>
    <row r="602" ht="15.0" customHeight="1">
      <c r="A602" s="35" t="s">
        <v>764</v>
      </c>
      <c r="B602" s="36" t="s">
        <v>13</v>
      </c>
      <c r="C602" s="37">
        <v>20.0</v>
      </c>
      <c r="D602" s="30">
        <v>3.162330060134E12</v>
      </c>
      <c r="E602" s="38">
        <v>0.29583</v>
      </c>
      <c r="F602" s="32">
        <v>7.1</v>
      </c>
      <c r="G602" s="33"/>
      <c r="H602" s="39">
        <f t="shared" si="62"/>
        <v>0</v>
      </c>
    </row>
    <row r="603" ht="15.0" customHeight="1">
      <c r="A603" s="35" t="s">
        <v>765</v>
      </c>
      <c r="B603" s="36" t="s">
        <v>13</v>
      </c>
      <c r="C603" s="37">
        <v>24.0</v>
      </c>
      <c r="D603" s="30">
        <v>3.162330060066E12</v>
      </c>
      <c r="E603" s="38">
        <v>0.416666</v>
      </c>
      <c r="F603" s="32">
        <v>10.0</v>
      </c>
      <c r="G603" s="33"/>
      <c r="H603" s="39">
        <f t="shared" si="62"/>
        <v>0</v>
      </c>
    </row>
    <row r="604" ht="15.0" customHeight="1">
      <c r="A604" s="35" t="s">
        <v>766</v>
      </c>
      <c r="B604" s="36" t="s">
        <v>13</v>
      </c>
      <c r="C604" s="37">
        <v>24.0</v>
      </c>
      <c r="D604" s="30">
        <v>3.162330060295E12</v>
      </c>
      <c r="E604" s="38">
        <v>0.516666</v>
      </c>
      <c r="F604" s="32">
        <v>12.4</v>
      </c>
      <c r="G604" s="33"/>
      <c r="H604" s="39">
        <f t="shared" si="62"/>
        <v>0</v>
      </c>
    </row>
    <row r="605" ht="15.0" customHeight="1">
      <c r="A605" s="35" t="s">
        <v>767</v>
      </c>
      <c r="B605" s="36" t="s">
        <v>13</v>
      </c>
      <c r="C605" s="37">
        <v>24.0</v>
      </c>
      <c r="D605" s="30">
        <v>3.162330062503E12</v>
      </c>
      <c r="E605" s="38">
        <v>0.5166666</v>
      </c>
      <c r="F605" s="32">
        <v>12.4</v>
      </c>
      <c r="G605" s="33"/>
      <c r="H605" s="39">
        <f t="shared" si="62"/>
        <v>0</v>
      </c>
    </row>
    <row r="606" ht="15.0" customHeight="1">
      <c r="A606" s="35" t="s">
        <v>768</v>
      </c>
      <c r="B606" s="36" t="s">
        <v>13</v>
      </c>
      <c r="C606" s="37">
        <v>20.0</v>
      </c>
      <c r="D606" s="30">
        <v>3.26157000789E12</v>
      </c>
      <c r="E606" s="38">
        <v>0.6275</v>
      </c>
      <c r="F606" s="32">
        <v>12.55</v>
      </c>
      <c r="G606" s="33"/>
      <c r="H606" s="39">
        <f t="shared" si="62"/>
        <v>0</v>
      </c>
    </row>
    <row r="607" ht="15.0" customHeight="1">
      <c r="A607" s="27" t="s">
        <v>769</v>
      </c>
      <c r="B607" s="28"/>
      <c r="C607" s="29"/>
      <c r="D607" s="30"/>
      <c r="E607" s="31"/>
      <c r="F607" s="32"/>
      <c r="G607" s="33"/>
      <c r="H607" s="39"/>
    </row>
    <row r="608" ht="15.0" customHeight="1">
      <c r="A608" s="35" t="s">
        <v>770</v>
      </c>
      <c r="B608" s="36" t="s">
        <v>771</v>
      </c>
      <c r="C608" s="37">
        <v>2.0</v>
      </c>
      <c r="D608" s="30">
        <v>3.261570002086E12</v>
      </c>
      <c r="E608" s="38">
        <v>24.5</v>
      </c>
      <c r="F608" s="32">
        <v>49.0</v>
      </c>
      <c r="G608" s="33"/>
      <c r="H608" s="39">
        <f t="shared" ref="H608:H609" si="63">G608*F608</f>
        <v>0</v>
      </c>
    </row>
    <row r="609" ht="15.0" customHeight="1">
      <c r="A609" s="35" t="s">
        <v>772</v>
      </c>
      <c r="B609" s="36" t="s">
        <v>771</v>
      </c>
      <c r="C609" s="37">
        <v>2.0</v>
      </c>
      <c r="D609" s="30">
        <v>3.261570008361E12</v>
      </c>
      <c r="E609" s="38">
        <v>23.75</v>
      </c>
      <c r="F609" s="32">
        <v>47.5</v>
      </c>
      <c r="G609" s="33"/>
      <c r="H609" s="39">
        <f t="shared" si="63"/>
        <v>0</v>
      </c>
    </row>
    <row r="610" ht="15.0" customHeight="1">
      <c r="A610" s="27" t="s">
        <v>773</v>
      </c>
      <c r="B610" s="28"/>
      <c r="C610" s="29"/>
      <c r="D610" s="30"/>
      <c r="E610" s="31"/>
      <c r="F610" s="32"/>
      <c r="G610" s="33"/>
      <c r="H610" s="39"/>
    </row>
    <row r="611" ht="15.0" customHeight="1">
      <c r="A611" s="35" t="s">
        <v>774</v>
      </c>
      <c r="B611" s="36" t="s">
        <v>13</v>
      </c>
      <c r="C611" s="37">
        <v>24.0</v>
      </c>
      <c r="D611" s="30">
        <v>3.080216050621E12</v>
      </c>
      <c r="E611" s="38">
        <v>0.74</v>
      </c>
      <c r="F611" s="32">
        <v>18.6</v>
      </c>
      <c r="G611" s="33"/>
      <c r="H611" s="39">
        <f t="shared" ref="H611:H625" si="64">G611*F611</f>
        <v>0</v>
      </c>
    </row>
    <row r="612" ht="15.0" customHeight="1">
      <c r="A612" s="35" t="s">
        <v>775</v>
      </c>
      <c r="B612" s="36" t="s">
        <v>132</v>
      </c>
      <c r="C612" s="37">
        <v>24.0</v>
      </c>
      <c r="D612" s="30">
        <v>3.119780256136E12</v>
      </c>
      <c r="E612" s="38">
        <v>1.25</v>
      </c>
      <c r="F612" s="32">
        <v>30.0</v>
      </c>
      <c r="G612" s="33"/>
      <c r="H612" s="39">
        <f t="shared" si="64"/>
        <v>0</v>
      </c>
    </row>
    <row r="613" ht="15.0" customHeight="1">
      <c r="A613" s="35" t="s">
        <v>776</v>
      </c>
      <c r="B613" s="36" t="s">
        <v>132</v>
      </c>
      <c r="C613" s="37">
        <v>24.0</v>
      </c>
      <c r="D613" s="30">
        <v>3.119789830108E12</v>
      </c>
      <c r="E613" s="38">
        <v>1.25</v>
      </c>
      <c r="F613" s="32">
        <v>30.0</v>
      </c>
      <c r="G613" s="33"/>
      <c r="H613" s="39">
        <f t="shared" si="64"/>
        <v>0</v>
      </c>
    </row>
    <row r="614" ht="15.0" customHeight="1">
      <c r="A614" s="35" t="s">
        <v>777</v>
      </c>
      <c r="B614" s="36" t="s">
        <v>132</v>
      </c>
      <c r="C614" s="37">
        <v>12.0</v>
      </c>
      <c r="D614" s="30" t="s">
        <v>778</v>
      </c>
      <c r="E614" s="38">
        <v>1.08333</v>
      </c>
      <c r="F614" s="32">
        <v>13.0</v>
      </c>
      <c r="G614" s="33"/>
      <c r="H614" s="39">
        <f t="shared" si="64"/>
        <v>0</v>
      </c>
    </row>
    <row r="615" ht="15.0" customHeight="1">
      <c r="A615" s="120" t="s">
        <v>779</v>
      </c>
      <c r="B615" s="36" t="s">
        <v>132</v>
      </c>
      <c r="C615" s="37">
        <v>12.0</v>
      </c>
      <c r="D615" s="30">
        <v>3.119780261635E12</v>
      </c>
      <c r="E615" s="38">
        <v>1.0833</v>
      </c>
      <c r="F615" s="32">
        <v>13.0</v>
      </c>
      <c r="G615" s="33"/>
      <c r="H615" s="39">
        <f t="shared" si="64"/>
        <v>0</v>
      </c>
    </row>
    <row r="616" ht="15.0" customHeight="1">
      <c r="A616" s="120" t="s">
        <v>780</v>
      </c>
      <c r="B616" s="36" t="s">
        <v>13</v>
      </c>
      <c r="C616" s="37">
        <v>24.0</v>
      </c>
      <c r="D616" s="30">
        <v>3.119780268306E12</v>
      </c>
      <c r="E616" s="38">
        <v>0.625</v>
      </c>
      <c r="F616" s="32">
        <v>15.0</v>
      </c>
      <c r="G616" s="33"/>
      <c r="H616" s="39">
        <f t="shared" si="64"/>
        <v>0</v>
      </c>
    </row>
    <row r="617" ht="15.0" customHeight="1">
      <c r="A617" s="35" t="s">
        <v>781</v>
      </c>
      <c r="B617" s="36" t="s">
        <v>13</v>
      </c>
      <c r="C617" s="37">
        <v>12.0</v>
      </c>
      <c r="D617" s="30">
        <v>3.119780259069E12</v>
      </c>
      <c r="E617" s="38">
        <v>0.55</v>
      </c>
      <c r="F617" s="32">
        <v>6.6</v>
      </c>
      <c r="G617" s="33"/>
      <c r="H617" s="39">
        <f t="shared" si="64"/>
        <v>0</v>
      </c>
    </row>
    <row r="618" ht="15.0" customHeight="1">
      <c r="A618" s="35" t="s">
        <v>782</v>
      </c>
      <c r="B618" s="36" t="s">
        <v>13</v>
      </c>
      <c r="C618" s="37">
        <v>20.0</v>
      </c>
      <c r="D618" s="30">
        <v>3.119780268276E12</v>
      </c>
      <c r="E618" s="38">
        <v>0.53</v>
      </c>
      <c r="F618" s="32">
        <v>10.6</v>
      </c>
      <c r="G618" s="33"/>
      <c r="H618" s="39">
        <f t="shared" si="64"/>
        <v>0</v>
      </c>
    </row>
    <row r="619" ht="15.0" customHeight="1">
      <c r="A619" s="35" t="s">
        <v>783</v>
      </c>
      <c r="B619" s="36" t="s">
        <v>13</v>
      </c>
      <c r="C619" s="37">
        <v>24.0</v>
      </c>
      <c r="D619" s="30">
        <v>3.11978024612E12</v>
      </c>
      <c r="E619" s="38">
        <v>0.52</v>
      </c>
      <c r="F619" s="32">
        <v>12.5</v>
      </c>
      <c r="G619" s="33"/>
      <c r="H619" s="39">
        <f t="shared" si="64"/>
        <v>0</v>
      </c>
    </row>
    <row r="620" ht="15.0" customHeight="1">
      <c r="A620" s="121" t="s">
        <v>784</v>
      </c>
      <c r="B620" s="36" t="s">
        <v>13</v>
      </c>
      <c r="C620" s="37">
        <v>20.0</v>
      </c>
      <c r="D620" s="122" t="s">
        <v>785</v>
      </c>
      <c r="E620" s="38">
        <v>5.55</v>
      </c>
      <c r="F620" s="32">
        <v>11.1</v>
      </c>
      <c r="G620" s="33"/>
      <c r="H620" s="39">
        <f t="shared" si="64"/>
        <v>0</v>
      </c>
    </row>
    <row r="621" ht="15.0" customHeight="1">
      <c r="A621" s="35" t="s">
        <v>786</v>
      </c>
      <c r="B621" s="36" t="s">
        <v>13</v>
      </c>
      <c r="C621" s="37">
        <v>24.0</v>
      </c>
      <c r="D621" s="30">
        <v>5.410228233077E12</v>
      </c>
      <c r="E621" s="38">
        <v>0.75833</v>
      </c>
      <c r="F621" s="32">
        <v>18.2</v>
      </c>
      <c r="G621" s="33"/>
      <c r="H621" s="39">
        <f t="shared" si="64"/>
        <v>0</v>
      </c>
    </row>
    <row r="622" ht="15.0" customHeight="1">
      <c r="A622" s="35" t="s">
        <v>787</v>
      </c>
      <c r="B622" s="36" t="s">
        <v>13</v>
      </c>
      <c r="C622" s="37">
        <v>24.0</v>
      </c>
      <c r="D622" s="30">
        <v>5.410228195832E12</v>
      </c>
      <c r="E622" s="38">
        <v>0.875</v>
      </c>
      <c r="F622" s="32">
        <v>21.0</v>
      </c>
      <c r="G622" s="33"/>
      <c r="H622" s="39">
        <f t="shared" si="64"/>
        <v>0</v>
      </c>
    </row>
    <row r="623" ht="15.0" customHeight="1">
      <c r="A623" s="48" t="s">
        <v>788</v>
      </c>
      <c r="B623" s="54" t="s">
        <v>13</v>
      </c>
      <c r="C623" s="56">
        <v>24.0</v>
      </c>
      <c r="D623" s="47" t="s">
        <v>789</v>
      </c>
      <c r="E623" s="38">
        <v>4.95</v>
      </c>
      <c r="F623" s="32">
        <v>19.8</v>
      </c>
      <c r="G623" s="33"/>
      <c r="H623" s="39">
        <f t="shared" si="64"/>
        <v>0</v>
      </c>
    </row>
    <row r="624" ht="15.0" customHeight="1">
      <c r="A624" s="35" t="s">
        <v>790</v>
      </c>
      <c r="B624" s="36" t="s">
        <v>13</v>
      </c>
      <c r="C624" s="37">
        <v>12.0</v>
      </c>
      <c r="D624" s="30">
        <v>5.410228258698E12</v>
      </c>
      <c r="E624" s="38">
        <v>0.7375</v>
      </c>
      <c r="F624" s="32">
        <v>8.85</v>
      </c>
      <c r="G624" s="33"/>
      <c r="H624" s="39">
        <f t="shared" si="64"/>
        <v>0</v>
      </c>
    </row>
    <row r="625" ht="15.0" customHeight="1">
      <c r="A625" s="35" t="s">
        <v>791</v>
      </c>
      <c r="B625" s="36" t="s">
        <v>13</v>
      </c>
      <c r="C625" s="37">
        <v>12.0</v>
      </c>
      <c r="D625" s="30">
        <v>5.410228202608E12</v>
      </c>
      <c r="E625" s="38">
        <v>0.75</v>
      </c>
      <c r="F625" s="32">
        <v>8.95</v>
      </c>
      <c r="G625" s="33"/>
      <c r="H625" s="39">
        <f t="shared" si="64"/>
        <v>0</v>
      </c>
    </row>
    <row r="626" ht="15.0" customHeight="1">
      <c r="A626" s="19" t="s">
        <v>792</v>
      </c>
      <c r="B626" s="20"/>
      <c r="C626" s="21"/>
      <c r="D626" s="22"/>
      <c r="E626" s="23"/>
      <c r="F626" s="24"/>
      <c r="G626" s="25"/>
      <c r="H626" s="68"/>
    </row>
    <row r="627" ht="15.0" customHeight="1">
      <c r="A627" s="27" t="s">
        <v>793</v>
      </c>
      <c r="B627" s="28"/>
      <c r="C627" s="29"/>
      <c r="D627" s="30"/>
      <c r="E627" s="31"/>
      <c r="F627" s="32"/>
      <c r="G627" s="33"/>
      <c r="H627" s="39"/>
    </row>
    <row r="628" ht="15.0" customHeight="1">
      <c r="A628" s="35" t="s">
        <v>794</v>
      </c>
      <c r="B628" s="36" t="s">
        <v>697</v>
      </c>
      <c r="C628" s="37">
        <v>6.0</v>
      </c>
      <c r="D628" s="30">
        <v>3.175529632302E12</v>
      </c>
      <c r="E628" s="38">
        <v>1.85</v>
      </c>
      <c r="F628" s="32">
        <v>11.1</v>
      </c>
      <c r="G628" s="33"/>
      <c r="H628" s="39">
        <f t="shared" ref="H628:H652" si="65">G628*F628</f>
        <v>0</v>
      </c>
    </row>
    <row r="629" ht="15.0" customHeight="1">
      <c r="A629" s="35" t="s">
        <v>795</v>
      </c>
      <c r="B629" s="36" t="s">
        <v>697</v>
      </c>
      <c r="C629" s="37">
        <v>6.0</v>
      </c>
      <c r="D629" s="30">
        <v>3.21120343322E12</v>
      </c>
      <c r="E629" s="38">
        <v>3.59</v>
      </c>
      <c r="F629" s="32">
        <v>21.54</v>
      </c>
      <c r="G629" s="33"/>
      <c r="H629" s="39">
        <f t="shared" si="65"/>
        <v>0</v>
      </c>
    </row>
    <row r="630" ht="15.0" customHeight="1">
      <c r="A630" s="35" t="s">
        <v>796</v>
      </c>
      <c r="B630" s="36" t="s">
        <v>697</v>
      </c>
      <c r="C630" s="37">
        <v>6.0</v>
      </c>
      <c r="D630" s="30">
        <v>3.262151637758E12</v>
      </c>
      <c r="E630" s="38">
        <v>7.5</v>
      </c>
      <c r="F630" s="32">
        <v>45.0</v>
      </c>
      <c r="G630" s="33"/>
      <c r="H630" s="39">
        <f t="shared" si="65"/>
        <v>0</v>
      </c>
    </row>
    <row r="631" ht="15.0" customHeight="1">
      <c r="A631" s="35" t="s">
        <v>797</v>
      </c>
      <c r="B631" s="36" t="s">
        <v>697</v>
      </c>
      <c r="C631" s="37">
        <v>6.0</v>
      </c>
      <c r="D631" s="30">
        <v>3.70029012608E12</v>
      </c>
      <c r="E631" s="38">
        <v>4.95</v>
      </c>
      <c r="F631" s="32">
        <v>29.7</v>
      </c>
      <c r="G631" s="33"/>
      <c r="H631" s="39">
        <f t="shared" si="65"/>
        <v>0</v>
      </c>
    </row>
    <row r="632" ht="15.0" customHeight="1">
      <c r="A632" s="35" t="s">
        <v>798</v>
      </c>
      <c r="B632" s="36" t="s">
        <v>697</v>
      </c>
      <c r="C632" s="37">
        <v>6.0</v>
      </c>
      <c r="D632" s="89" t="s">
        <v>799</v>
      </c>
      <c r="E632" s="38">
        <v>4.65</v>
      </c>
      <c r="F632" s="32">
        <v>27.9</v>
      </c>
      <c r="G632" s="33"/>
      <c r="H632" s="39">
        <f t="shared" si="65"/>
        <v>0</v>
      </c>
    </row>
    <row r="633" ht="15.0" customHeight="1">
      <c r="A633" s="35" t="s">
        <v>800</v>
      </c>
      <c r="B633" s="36" t="s">
        <v>697</v>
      </c>
      <c r="C633" s="37">
        <v>6.0</v>
      </c>
      <c r="D633" s="89" t="s">
        <v>801</v>
      </c>
      <c r="E633" s="38">
        <v>5.25</v>
      </c>
      <c r="F633" s="32">
        <v>31.5</v>
      </c>
      <c r="G633" s="33"/>
      <c r="H633" s="39">
        <f t="shared" si="65"/>
        <v>0</v>
      </c>
    </row>
    <row r="634" ht="15.0" customHeight="1">
      <c r="A634" s="35" t="s">
        <v>802</v>
      </c>
      <c r="B634" s="36" t="s">
        <v>697</v>
      </c>
      <c r="C634" s="37">
        <v>6.0</v>
      </c>
      <c r="D634" s="30">
        <v>3.700971904754E12</v>
      </c>
      <c r="E634" s="38">
        <v>7.75</v>
      </c>
      <c r="F634" s="32">
        <v>46.5</v>
      </c>
      <c r="G634" s="33"/>
      <c r="H634" s="39">
        <f t="shared" si="65"/>
        <v>0</v>
      </c>
    </row>
    <row r="635" ht="15.0" customHeight="1">
      <c r="A635" s="35" t="s">
        <v>803</v>
      </c>
      <c r="B635" s="36" t="s">
        <v>697</v>
      </c>
      <c r="C635" s="37">
        <v>6.0</v>
      </c>
      <c r="D635" s="30">
        <v>3.760259350079E12</v>
      </c>
      <c r="E635" s="38">
        <v>8.75</v>
      </c>
      <c r="F635" s="32">
        <v>52.5</v>
      </c>
      <c r="G635" s="33"/>
      <c r="H635" s="39">
        <f t="shared" si="65"/>
        <v>0</v>
      </c>
    </row>
    <row r="636" ht="15.0" customHeight="1">
      <c r="A636" s="35" t="s">
        <v>804</v>
      </c>
      <c r="B636" s="36" t="s">
        <v>697</v>
      </c>
      <c r="C636" s="37">
        <v>6.0</v>
      </c>
      <c r="D636" s="30">
        <v>3.272591540426E12</v>
      </c>
      <c r="E636" s="38">
        <v>5.25</v>
      </c>
      <c r="F636" s="32">
        <v>31.5</v>
      </c>
      <c r="G636" s="33"/>
      <c r="H636" s="39">
        <f t="shared" si="65"/>
        <v>0</v>
      </c>
    </row>
    <row r="637" ht="15.0" customHeight="1">
      <c r="A637" s="35" t="s">
        <v>805</v>
      </c>
      <c r="B637" s="36" t="s">
        <v>697</v>
      </c>
      <c r="C637" s="37">
        <v>6.0</v>
      </c>
      <c r="D637" s="30">
        <v>3.242160101099E12</v>
      </c>
      <c r="E637" s="38">
        <v>4.55</v>
      </c>
      <c r="F637" s="32">
        <v>27.3</v>
      </c>
      <c r="G637" s="33"/>
      <c r="H637" s="39">
        <f t="shared" si="65"/>
        <v>0</v>
      </c>
    </row>
    <row r="638" ht="15.0" customHeight="1">
      <c r="A638" s="35" t="s">
        <v>806</v>
      </c>
      <c r="B638" s="36" t="s">
        <v>697</v>
      </c>
      <c r="C638" s="37">
        <v>6.0</v>
      </c>
      <c r="D638" s="30">
        <v>3.249381041715E12</v>
      </c>
      <c r="E638" s="38">
        <v>2.19</v>
      </c>
      <c r="F638" s="32">
        <v>13.14</v>
      </c>
      <c r="G638" s="33"/>
      <c r="H638" s="39">
        <f t="shared" si="65"/>
        <v>0</v>
      </c>
    </row>
    <row r="639" ht="15.0" customHeight="1">
      <c r="A639" s="35" t="s">
        <v>807</v>
      </c>
      <c r="B639" s="36" t="s">
        <v>697</v>
      </c>
      <c r="C639" s="37">
        <v>6.0</v>
      </c>
      <c r="D639" s="30">
        <v>3.760167391751E12</v>
      </c>
      <c r="E639" s="38">
        <v>4.65</v>
      </c>
      <c r="F639" s="32">
        <v>27.9</v>
      </c>
      <c r="G639" s="33"/>
      <c r="H639" s="39">
        <f t="shared" si="65"/>
        <v>0</v>
      </c>
    </row>
    <row r="640" ht="15.0" customHeight="1">
      <c r="A640" s="35" t="s">
        <v>808</v>
      </c>
      <c r="B640" s="36" t="s">
        <v>697</v>
      </c>
      <c r="C640" s="37">
        <v>6.0</v>
      </c>
      <c r="D640" s="30">
        <v>3.700290122532E12</v>
      </c>
      <c r="E640" s="38">
        <v>6.0</v>
      </c>
      <c r="F640" s="32">
        <v>36.0</v>
      </c>
      <c r="G640" s="33"/>
      <c r="H640" s="39">
        <f t="shared" si="65"/>
        <v>0</v>
      </c>
    </row>
    <row r="641" ht="15.0" customHeight="1">
      <c r="A641" s="35" t="s">
        <v>809</v>
      </c>
      <c r="B641" s="36" t="s">
        <v>697</v>
      </c>
      <c r="C641" s="37">
        <v>6.0</v>
      </c>
      <c r="D641" s="30" t="s">
        <v>810</v>
      </c>
      <c r="E641" s="38">
        <v>5.75</v>
      </c>
      <c r="F641" s="32">
        <v>34.5</v>
      </c>
      <c r="G641" s="33"/>
      <c r="H641" s="39">
        <f t="shared" si="65"/>
        <v>0</v>
      </c>
    </row>
    <row r="642" ht="15.0" customHeight="1">
      <c r="A642" s="35" t="s">
        <v>811</v>
      </c>
      <c r="B642" s="36" t="s">
        <v>697</v>
      </c>
      <c r="C642" s="37">
        <v>6.0</v>
      </c>
      <c r="D642" s="30" t="s">
        <v>812</v>
      </c>
      <c r="E642" s="38">
        <v>6.15</v>
      </c>
      <c r="F642" s="32">
        <v>36.9</v>
      </c>
      <c r="G642" s="33"/>
      <c r="H642" s="39">
        <f t="shared" si="65"/>
        <v>0</v>
      </c>
    </row>
    <row r="643" ht="15.0" customHeight="1">
      <c r="A643" s="35" t="s">
        <v>813</v>
      </c>
      <c r="B643" s="36" t="s">
        <v>697</v>
      </c>
      <c r="C643" s="37">
        <v>6.0</v>
      </c>
      <c r="D643" s="30">
        <v>3.700290120125E12</v>
      </c>
      <c r="E643" s="38">
        <v>5.25</v>
      </c>
      <c r="F643" s="32">
        <v>31.5</v>
      </c>
      <c r="G643" s="33"/>
      <c r="H643" s="39">
        <f t="shared" si="65"/>
        <v>0</v>
      </c>
    </row>
    <row r="644" ht="15.0" customHeight="1">
      <c r="A644" s="35" t="s">
        <v>814</v>
      </c>
      <c r="B644" s="36" t="s">
        <v>697</v>
      </c>
      <c r="C644" s="37">
        <v>6.0</v>
      </c>
      <c r="D644" s="30">
        <v>3.263280120111E12</v>
      </c>
      <c r="E644" s="38">
        <v>5.65</v>
      </c>
      <c r="F644" s="32">
        <v>33.9</v>
      </c>
      <c r="G644" s="33"/>
      <c r="H644" s="39">
        <f t="shared" si="65"/>
        <v>0</v>
      </c>
    </row>
    <row r="645" ht="15.0" customHeight="1">
      <c r="A645" s="35" t="s">
        <v>815</v>
      </c>
      <c r="B645" s="36" t="s">
        <v>697</v>
      </c>
      <c r="C645" s="37">
        <v>6.0</v>
      </c>
      <c r="D645" s="30">
        <v>3.359950359858E12</v>
      </c>
      <c r="E645" s="38">
        <v>12.5</v>
      </c>
      <c r="F645" s="32">
        <v>75.0</v>
      </c>
      <c r="G645" s="33"/>
      <c r="H645" s="39">
        <f t="shared" si="65"/>
        <v>0</v>
      </c>
    </row>
    <row r="646" ht="15.0" customHeight="1">
      <c r="A646" s="35" t="s">
        <v>816</v>
      </c>
      <c r="B646" s="36" t="s">
        <v>697</v>
      </c>
      <c r="C646" s="37">
        <v>6.0</v>
      </c>
      <c r="D646" s="89" t="s">
        <v>817</v>
      </c>
      <c r="E646" s="38">
        <v>16.95</v>
      </c>
      <c r="F646" s="32">
        <v>101.7</v>
      </c>
      <c r="G646" s="33"/>
      <c r="H646" s="39">
        <f t="shared" si="65"/>
        <v>0</v>
      </c>
    </row>
    <row r="647" ht="15.0" customHeight="1">
      <c r="A647" s="35" t="s">
        <v>818</v>
      </c>
      <c r="B647" s="36" t="s">
        <v>697</v>
      </c>
      <c r="C647" s="37">
        <v>6.0</v>
      </c>
      <c r="D647" s="30">
        <v>3.770000114126E12</v>
      </c>
      <c r="E647" s="38">
        <v>5.0</v>
      </c>
      <c r="F647" s="32">
        <v>30.0</v>
      </c>
      <c r="G647" s="33"/>
      <c r="H647" s="39">
        <f t="shared" si="65"/>
        <v>0</v>
      </c>
    </row>
    <row r="648" ht="15.0" customHeight="1">
      <c r="A648" s="35" t="s">
        <v>819</v>
      </c>
      <c r="B648" s="36" t="s">
        <v>697</v>
      </c>
      <c r="C648" s="37">
        <v>6.0</v>
      </c>
      <c r="D648" s="30">
        <v>3.760138351647E12</v>
      </c>
      <c r="E648" s="38">
        <v>4.75</v>
      </c>
      <c r="F648" s="32">
        <v>28.5</v>
      </c>
      <c r="G648" s="33"/>
      <c r="H648" s="39">
        <f t="shared" si="65"/>
        <v>0</v>
      </c>
    </row>
    <row r="649" ht="15.0" customHeight="1">
      <c r="A649" s="35" t="s">
        <v>820</v>
      </c>
      <c r="B649" s="36" t="s">
        <v>697</v>
      </c>
      <c r="C649" s="37">
        <v>6.0</v>
      </c>
      <c r="D649" s="30">
        <v>3.700971900879E12</v>
      </c>
      <c r="E649" s="38">
        <v>6.0</v>
      </c>
      <c r="F649" s="32">
        <v>36.0</v>
      </c>
      <c r="G649" s="33"/>
      <c r="H649" s="39">
        <f t="shared" si="65"/>
        <v>0</v>
      </c>
    </row>
    <row r="650" ht="15.0" customHeight="1">
      <c r="A650" s="35" t="s">
        <v>821</v>
      </c>
      <c r="B650" s="36" t="s">
        <v>697</v>
      </c>
      <c r="C650" s="37">
        <v>6.0</v>
      </c>
      <c r="D650" s="30">
        <v>3.701086300189E12</v>
      </c>
      <c r="E650" s="38">
        <v>6.75</v>
      </c>
      <c r="F650" s="32">
        <v>40.5</v>
      </c>
      <c r="G650" s="33"/>
      <c r="H650" s="39">
        <f t="shared" si="65"/>
        <v>0</v>
      </c>
    </row>
    <row r="651" ht="15.0" customHeight="1">
      <c r="A651" s="35" t="s">
        <v>822</v>
      </c>
      <c r="B651" s="36" t="s">
        <v>697</v>
      </c>
      <c r="C651" s="37">
        <v>6.0</v>
      </c>
      <c r="D651" s="30">
        <v>3.701086302565E12</v>
      </c>
      <c r="E651" s="38">
        <v>6.95</v>
      </c>
      <c r="F651" s="32">
        <v>41.7</v>
      </c>
      <c r="G651" s="33"/>
      <c r="H651" s="39">
        <f t="shared" si="65"/>
        <v>0</v>
      </c>
    </row>
    <row r="652" ht="15.0" customHeight="1">
      <c r="A652" s="35" t="s">
        <v>823</v>
      </c>
      <c r="B652" s="36" t="s">
        <v>697</v>
      </c>
      <c r="C652" s="37">
        <v>6.0</v>
      </c>
      <c r="D652" s="30">
        <v>3.701086301124E12</v>
      </c>
      <c r="E652" s="38">
        <v>5.85</v>
      </c>
      <c r="F652" s="32">
        <v>35.1</v>
      </c>
      <c r="G652" s="33"/>
      <c r="H652" s="39">
        <f t="shared" si="65"/>
        <v>0</v>
      </c>
    </row>
    <row r="653" ht="15.0" customHeight="1">
      <c r="A653" s="27" t="s">
        <v>824</v>
      </c>
      <c r="B653" s="28"/>
      <c r="C653" s="29"/>
      <c r="D653" s="30"/>
      <c r="E653" s="31"/>
      <c r="F653" s="32"/>
      <c r="G653" s="33"/>
      <c r="H653" s="39"/>
    </row>
    <row r="654" ht="15.0" customHeight="1">
      <c r="A654" s="35" t="s">
        <v>825</v>
      </c>
      <c r="B654" s="36" t="s">
        <v>697</v>
      </c>
      <c r="C654" s="37">
        <v>6.0</v>
      </c>
      <c r="D654" s="30">
        <v>3.296184018697E12</v>
      </c>
      <c r="E654" s="38">
        <v>10.0</v>
      </c>
      <c r="F654" s="32">
        <v>60.0</v>
      </c>
      <c r="G654" s="33"/>
      <c r="H654" s="39">
        <f t="shared" ref="H654:H667" si="66">G654*F654</f>
        <v>0</v>
      </c>
    </row>
    <row r="655" ht="15.0" customHeight="1">
      <c r="A655" s="35" t="s">
        <v>826</v>
      </c>
      <c r="B655" s="36" t="s">
        <v>697</v>
      </c>
      <c r="C655" s="37">
        <v>6.0</v>
      </c>
      <c r="D655" s="30">
        <v>3.521211840201E12</v>
      </c>
      <c r="E655" s="38">
        <v>8.2</v>
      </c>
      <c r="F655" s="32">
        <v>49.2</v>
      </c>
      <c r="G655" s="33"/>
      <c r="H655" s="39">
        <f t="shared" si="66"/>
        <v>0</v>
      </c>
    </row>
    <row r="656" ht="15.0" customHeight="1">
      <c r="A656" s="35" t="s">
        <v>827</v>
      </c>
      <c r="B656" s="36" t="s">
        <v>697</v>
      </c>
      <c r="C656" s="37">
        <v>6.0</v>
      </c>
      <c r="D656" s="30">
        <v>3.521211842205E12</v>
      </c>
      <c r="E656" s="38">
        <v>8.95</v>
      </c>
      <c r="F656" s="32">
        <v>53.7</v>
      </c>
      <c r="G656" s="33"/>
      <c r="H656" s="39">
        <f t="shared" si="66"/>
        <v>0</v>
      </c>
    </row>
    <row r="657" ht="15.0" customHeight="1">
      <c r="A657" s="35" t="s">
        <v>828</v>
      </c>
      <c r="B657" s="36" t="s">
        <v>697</v>
      </c>
      <c r="C657" s="37">
        <v>6.0</v>
      </c>
      <c r="D657" s="30">
        <v>3.701086301094E12</v>
      </c>
      <c r="E657" s="38">
        <v>5.65</v>
      </c>
      <c r="F657" s="32">
        <v>33.9</v>
      </c>
      <c r="G657" s="33"/>
      <c r="H657" s="39">
        <f t="shared" si="66"/>
        <v>0</v>
      </c>
    </row>
    <row r="658" ht="15.0" customHeight="1">
      <c r="A658" s="35" t="s">
        <v>829</v>
      </c>
      <c r="B658" s="36" t="s">
        <v>697</v>
      </c>
      <c r="C658" s="37">
        <v>6.0</v>
      </c>
      <c r="D658" s="30">
        <v>3.211200218943E12</v>
      </c>
      <c r="E658" s="38">
        <v>4.15</v>
      </c>
      <c r="F658" s="32">
        <v>24.9</v>
      </c>
      <c r="G658" s="33"/>
      <c r="H658" s="39">
        <f t="shared" si="66"/>
        <v>0</v>
      </c>
    </row>
    <row r="659" ht="15.0" customHeight="1">
      <c r="A659" s="35" t="s">
        <v>830</v>
      </c>
      <c r="B659" s="36" t="s">
        <v>697</v>
      </c>
      <c r="C659" s="37">
        <v>6.0</v>
      </c>
      <c r="D659" s="30">
        <v>3.211200218844E12</v>
      </c>
      <c r="E659" s="38">
        <v>5.35</v>
      </c>
      <c r="F659" s="32">
        <v>32.1</v>
      </c>
      <c r="G659" s="33"/>
      <c r="H659" s="39">
        <f t="shared" si="66"/>
        <v>0</v>
      </c>
    </row>
    <row r="660" ht="15.0" customHeight="1">
      <c r="A660" s="35" t="s">
        <v>831</v>
      </c>
      <c r="B660" s="36" t="s">
        <v>697</v>
      </c>
      <c r="C660" s="37">
        <v>6.0</v>
      </c>
      <c r="D660" s="30">
        <v>4.333465994543E12</v>
      </c>
      <c r="E660" s="38">
        <v>2.39</v>
      </c>
      <c r="F660" s="32">
        <v>14.34</v>
      </c>
      <c r="G660" s="33"/>
      <c r="H660" s="39">
        <f t="shared" si="66"/>
        <v>0</v>
      </c>
    </row>
    <row r="661" ht="15.0" customHeight="1">
      <c r="A661" s="35" t="s">
        <v>832</v>
      </c>
      <c r="B661" s="36" t="s">
        <v>697</v>
      </c>
      <c r="C661" s="37">
        <v>6.0</v>
      </c>
      <c r="D661" s="30">
        <v>3.244081500005E12</v>
      </c>
      <c r="E661" s="38">
        <v>3.45</v>
      </c>
      <c r="F661" s="32">
        <v>20.7</v>
      </c>
      <c r="G661" s="33"/>
      <c r="H661" s="39">
        <f t="shared" si="66"/>
        <v>0</v>
      </c>
    </row>
    <row r="662" ht="15.0" customHeight="1">
      <c r="A662" s="35" t="s">
        <v>833</v>
      </c>
      <c r="B662" s="36" t="s">
        <v>697</v>
      </c>
      <c r="C662" s="37">
        <v>6.0</v>
      </c>
      <c r="D662" s="30">
        <v>3.760153841994E12</v>
      </c>
      <c r="E662" s="38">
        <v>5.9</v>
      </c>
      <c r="F662" s="32">
        <v>35.4</v>
      </c>
      <c r="G662" s="33"/>
      <c r="H662" s="39">
        <f t="shared" si="66"/>
        <v>0</v>
      </c>
    </row>
    <row r="663" ht="15.0" customHeight="1">
      <c r="A663" s="35" t="s">
        <v>834</v>
      </c>
      <c r="B663" s="36" t="s">
        <v>697</v>
      </c>
      <c r="C663" s="37">
        <v>6.0</v>
      </c>
      <c r="D663" s="30">
        <v>3.280111580005E12</v>
      </c>
      <c r="E663" s="38">
        <v>3.95</v>
      </c>
      <c r="F663" s="32">
        <v>23.7</v>
      </c>
      <c r="G663" s="33"/>
      <c r="H663" s="39">
        <f t="shared" si="66"/>
        <v>0</v>
      </c>
    </row>
    <row r="664" ht="15.0" customHeight="1">
      <c r="A664" s="35" t="s">
        <v>835</v>
      </c>
      <c r="B664" s="36" t="s">
        <v>697</v>
      </c>
      <c r="C664" s="37">
        <v>6.0</v>
      </c>
      <c r="D664" s="30">
        <v>3.438910880639E12</v>
      </c>
      <c r="E664" s="38">
        <v>4.25</v>
      </c>
      <c r="F664" s="32">
        <v>25.5</v>
      </c>
      <c r="G664" s="33"/>
      <c r="H664" s="39">
        <f t="shared" si="66"/>
        <v>0</v>
      </c>
    </row>
    <row r="665" ht="15.0" customHeight="1">
      <c r="A665" s="35" t="s">
        <v>836</v>
      </c>
      <c r="B665" s="36" t="s">
        <v>697</v>
      </c>
      <c r="C665" s="37">
        <v>6.0</v>
      </c>
      <c r="D665" s="30">
        <v>3.439495508E12</v>
      </c>
      <c r="E665" s="38">
        <v>2.9</v>
      </c>
      <c r="F665" s="32">
        <v>17.4</v>
      </c>
      <c r="G665" s="33"/>
      <c r="H665" s="39">
        <f t="shared" si="66"/>
        <v>0</v>
      </c>
    </row>
    <row r="666" ht="15.0" customHeight="1">
      <c r="A666" s="35" t="s">
        <v>837</v>
      </c>
      <c r="B666" s="36" t="s">
        <v>697</v>
      </c>
      <c r="C666" s="37">
        <v>6.0</v>
      </c>
      <c r="D666" s="30">
        <v>3.211209272243E12</v>
      </c>
      <c r="E666" s="38">
        <v>2.65</v>
      </c>
      <c r="F666" s="32">
        <v>15.9</v>
      </c>
      <c r="G666" s="33"/>
      <c r="H666" s="39">
        <f t="shared" si="66"/>
        <v>0</v>
      </c>
    </row>
    <row r="667" ht="15.0" customHeight="1">
      <c r="A667" s="35" t="s">
        <v>838</v>
      </c>
      <c r="B667" s="36" t="s">
        <v>697</v>
      </c>
      <c r="C667" s="37">
        <v>6.0</v>
      </c>
      <c r="D667" s="30">
        <v>3.249381041722E12</v>
      </c>
      <c r="E667" s="38">
        <v>2.19</v>
      </c>
      <c r="F667" s="32">
        <v>13.14</v>
      </c>
      <c r="G667" s="33"/>
      <c r="H667" s="39">
        <f t="shared" si="66"/>
        <v>0</v>
      </c>
    </row>
    <row r="668" ht="15.0" customHeight="1">
      <c r="A668" s="27" t="s">
        <v>839</v>
      </c>
      <c r="B668" s="28"/>
      <c r="C668" s="29"/>
      <c r="D668" s="30"/>
      <c r="E668" s="31"/>
      <c r="F668" s="32"/>
      <c r="G668" s="33"/>
      <c r="H668" s="39"/>
    </row>
    <row r="669" ht="15.0" customHeight="1">
      <c r="A669" s="35" t="s">
        <v>840</v>
      </c>
      <c r="B669" s="36" t="s">
        <v>697</v>
      </c>
      <c r="C669" s="37">
        <v>6.0</v>
      </c>
      <c r="D669" s="30">
        <v>3.211200218691E12</v>
      </c>
      <c r="E669" s="38">
        <v>5.5</v>
      </c>
      <c r="F669" s="32">
        <v>33.0</v>
      </c>
      <c r="G669" s="33"/>
      <c r="H669" s="39">
        <f t="shared" ref="H669:H675" si="67">G669*F669</f>
        <v>0</v>
      </c>
    </row>
    <row r="670" ht="15.0" customHeight="1">
      <c r="A670" s="35" t="s">
        <v>841</v>
      </c>
      <c r="B670" s="36" t="s">
        <v>697</v>
      </c>
      <c r="C670" s="37">
        <v>6.0</v>
      </c>
      <c r="D670" s="30">
        <v>3.760004440024E12</v>
      </c>
      <c r="E670" s="38">
        <v>3.9</v>
      </c>
      <c r="F670" s="32">
        <v>23.4</v>
      </c>
      <c r="G670" s="33"/>
      <c r="H670" s="39">
        <f t="shared" si="67"/>
        <v>0</v>
      </c>
    </row>
    <row r="671" ht="15.0" customHeight="1">
      <c r="A671" s="35" t="s">
        <v>842</v>
      </c>
      <c r="B671" s="36" t="s">
        <v>697</v>
      </c>
      <c r="C671" s="37">
        <v>6.0</v>
      </c>
      <c r="D671" s="30">
        <v>3.760004440178E12</v>
      </c>
      <c r="E671" s="38">
        <v>5.5</v>
      </c>
      <c r="F671" s="32">
        <f>E671*C671</f>
        <v>33</v>
      </c>
      <c r="G671" s="33"/>
      <c r="H671" s="39">
        <f t="shared" si="67"/>
        <v>0</v>
      </c>
    </row>
    <row r="672" ht="15.0" customHeight="1">
      <c r="A672" s="35" t="s">
        <v>843</v>
      </c>
      <c r="B672" s="36" t="s">
        <v>697</v>
      </c>
      <c r="C672" s="37">
        <v>6.0</v>
      </c>
      <c r="D672" s="30">
        <v>3.547102222E12</v>
      </c>
      <c r="E672" s="38">
        <v>9.75</v>
      </c>
      <c r="F672" s="32">
        <v>58.5</v>
      </c>
      <c r="G672" s="33"/>
      <c r="H672" s="39">
        <f t="shared" si="67"/>
        <v>0</v>
      </c>
    </row>
    <row r="673" ht="15.0" customHeight="1">
      <c r="A673" s="35" t="s">
        <v>844</v>
      </c>
      <c r="B673" s="36" t="s">
        <v>697</v>
      </c>
      <c r="C673" s="37">
        <v>6.0</v>
      </c>
      <c r="D673" s="30">
        <v>3.296184016242E12</v>
      </c>
      <c r="E673" s="38">
        <v>12.9</v>
      </c>
      <c r="F673" s="32">
        <v>77.4</v>
      </c>
      <c r="G673" s="33"/>
      <c r="H673" s="39">
        <f t="shared" si="67"/>
        <v>0</v>
      </c>
    </row>
    <row r="674" ht="15.0" customHeight="1">
      <c r="A674" s="35" t="s">
        <v>845</v>
      </c>
      <c r="B674" s="36" t="s">
        <v>697</v>
      </c>
      <c r="C674" s="37">
        <v>6.0</v>
      </c>
      <c r="D674" s="30">
        <v>3.296180007794E12</v>
      </c>
      <c r="E674" s="38">
        <v>7.5</v>
      </c>
      <c r="F674" s="32">
        <v>45.0</v>
      </c>
      <c r="G674" s="33"/>
      <c r="H674" s="39">
        <f t="shared" si="67"/>
        <v>0</v>
      </c>
    </row>
    <row r="675" ht="15.0" customHeight="1">
      <c r="A675" s="35" t="s">
        <v>846</v>
      </c>
      <c r="B675" s="36" t="s">
        <v>697</v>
      </c>
      <c r="C675" s="37">
        <v>6.0</v>
      </c>
      <c r="D675" s="30">
        <v>3.244085100003E12</v>
      </c>
      <c r="E675" s="38">
        <v>4.75</v>
      </c>
      <c r="F675" s="32">
        <v>28.5</v>
      </c>
      <c r="G675" s="33"/>
      <c r="H675" s="39">
        <f t="shared" si="67"/>
        <v>0</v>
      </c>
    </row>
    <row r="676" ht="15.0" customHeight="1">
      <c r="A676" s="27" t="s">
        <v>847</v>
      </c>
      <c r="B676" s="28"/>
      <c r="C676" s="29"/>
      <c r="D676" s="30"/>
      <c r="E676" s="31"/>
      <c r="F676" s="32"/>
      <c r="G676" s="33"/>
      <c r="H676" s="39"/>
    </row>
    <row r="677" ht="15.0" customHeight="1">
      <c r="A677" s="35" t="s">
        <v>848</v>
      </c>
      <c r="B677" s="36" t="s">
        <v>697</v>
      </c>
      <c r="C677" s="37">
        <v>6.0</v>
      </c>
      <c r="D677" s="30">
        <v>8.026924054778E12</v>
      </c>
      <c r="E677" s="38">
        <v>2.89</v>
      </c>
      <c r="F677" s="32">
        <v>17.34</v>
      </c>
      <c r="G677" s="33"/>
      <c r="H677" s="39">
        <f t="shared" ref="H677:H681" si="68">G677*F677</f>
        <v>0</v>
      </c>
    </row>
    <row r="678" ht="15.0" customHeight="1">
      <c r="A678" s="35" t="s">
        <v>849</v>
      </c>
      <c r="B678" s="36" t="s">
        <v>697</v>
      </c>
      <c r="C678" s="37">
        <v>6.0</v>
      </c>
      <c r="D678" s="30" t="s">
        <v>216</v>
      </c>
      <c r="E678" s="38">
        <v>8.99</v>
      </c>
      <c r="F678" s="32">
        <v>53.94</v>
      </c>
      <c r="G678" s="33"/>
      <c r="H678" s="39">
        <f t="shared" si="68"/>
        <v>0</v>
      </c>
    </row>
    <row r="679" ht="15.0" customHeight="1">
      <c r="A679" s="35" t="s">
        <v>850</v>
      </c>
      <c r="B679" s="36" t="s">
        <v>697</v>
      </c>
      <c r="C679" s="37">
        <v>6.0</v>
      </c>
      <c r="D679" s="30">
        <v>3.211209272212E12</v>
      </c>
      <c r="E679" s="38">
        <v>2.49</v>
      </c>
      <c r="F679" s="32">
        <v>14.94</v>
      </c>
      <c r="G679" s="33"/>
      <c r="H679" s="39">
        <f t="shared" si="68"/>
        <v>0</v>
      </c>
    </row>
    <row r="680" ht="15.0" customHeight="1">
      <c r="A680" s="35" t="s">
        <v>851</v>
      </c>
      <c r="B680" s="36" t="s">
        <v>697</v>
      </c>
      <c r="C680" s="37">
        <v>6.0</v>
      </c>
      <c r="D680" s="30">
        <v>3.249381041739E12</v>
      </c>
      <c r="E680" s="38">
        <v>2.29</v>
      </c>
      <c r="F680" s="32">
        <v>13.74</v>
      </c>
      <c r="G680" s="33"/>
      <c r="H680" s="39">
        <f t="shared" si="68"/>
        <v>0</v>
      </c>
    </row>
    <row r="681" ht="15.0" customHeight="1">
      <c r="A681" s="35" t="s">
        <v>852</v>
      </c>
      <c r="B681" s="36" t="s">
        <v>697</v>
      </c>
      <c r="C681" s="37">
        <v>6.0</v>
      </c>
      <c r="D681" s="30">
        <v>3.296184016181E12</v>
      </c>
      <c r="E681" s="38">
        <v>7.5</v>
      </c>
      <c r="F681" s="32">
        <v>45.0</v>
      </c>
      <c r="G681" s="33"/>
      <c r="H681" s="39">
        <f t="shared" si="68"/>
        <v>0</v>
      </c>
    </row>
    <row r="682" ht="15.0" customHeight="1">
      <c r="A682" s="27" t="s">
        <v>853</v>
      </c>
      <c r="B682" s="28"/>
      <c r="C682" s="29"/>
      <c r="D682" s="30"/>
      <c r="E682" s="31"/>
      <c r="F682" s="32"/>
      <c r="G682" s="33"/>
      <c r="H682" s="39"/>
    </row>
    <row r="683" ht="15.0" customHeight="1">
      <c r="A683" s="35" t="s">
        <v>854</v>
      </c>
      <c r="B683" s="36" t="s">
        <v>697</v>
      </c>
      <c r="C683" s="37">
        <v>6.0</v>
      </c>
      <c r="D683" s="30">
        <v>3.211209188759E12</v>
      </c>
      <c r="E683" s="38">
        <v>3.95</v>
      </c>
      <c r="F683" s="32">
        <v>23.7</v>
      </c>
      <c r="G683" s="33"/>
      <c r="H683" s="39">
        <f t="shared" ref="H683:H686" si="69">G683*F683</f>
        <v>0</v>
      </c>
    </row>
    <row r="684" ht="15.0" customHeight="1">
      <c r="A684" s="35" t="s">
        <v>855</v>
      </c>
      <c r="B684" s="36" t="s">
        <v>697</v>
      </c>
      <c r="C684" s="37">
        <v>6.0</v>
      </c>
      <c r="D684" s="30">
        <v>3.21120918894E12</v>
      </c>
      <c r="E684" s="38">
        <v>5.85</v>
      </c>
      <c r="F684" s="32">
        <v>35.1</v>
      </c>
      <c r="G684" s="33"/>
      <c r="H684" s="39">
        <f t="shared" si="69"/>
        <v>0</v>
      </c>
    </row>
    <row r="685" ht="15.0" customHeight="1">
      <c r="A685" s="35" t="s">
        <v>856</v>
      </c>
      <c r="B685" s="36" t="s">
        <v>697</v>
      </c>
      <c r="C685" s="37">
        <v>6.0</v>
      </c>
      <c r="D685" s="30" t="s">
        <v>857</v>
      </c>
      <c r="E685" s="38">
        <v>5.95</v>
      </c>
      <c r="F685" s="32">
        <v>35.7</v>
      </c>
      <c r="G685" s="33"/>
      <c r="H685" s="39">
        <f t="shared" si="69"/>
        <v>0</v>
      </c>
    </row>
    <row r="686" ht="15.0" customHeight="1">
      <c r="A686" s="35" t="s">
        <v>858</v>
      </c>
      <c r="B686" s="36" t="s">
        <v>697</v>
      </c>
      <c r="C686" s="37">
        <v>6.0</v>
      </c>
      <c r="D686" s="30" t="s">
        <v>859</v>
      </c>
      <c r="E686" s="38">
        <v>6.15</v>
      </c>
      <c r="F686" s="32">
        <v>36.9</v>
      </c>
      <c r="G686" s="33"/>
      <c r="H686" s="39">
        <f t="shared" si="69"/>
        <v>0</v>
      </c>
    </row>
    <row r="687" ht="15.0" customHeight="1">
      <c r="A687" s="27" t="s">
        <v>860</v>
      </c>
      <c r="B687" s="28"/>
      <c r="C687" s="29"/>
      <c r="D687" s="30"/>
      <c r="E687" s="31"/>
      <c r="F687" s="32"/>
      <c r="G687" s="33"/>
      <c r="H687" s="39"/>
    </row>
    <row r="688" ht="15.0" customHeight="1">
      <c r="A688" s="35" t="s">
        <v>861</v>
      </c>
      <c r="B688" s="36" t="s">
        <v>697</v>
      </c>
      <c r="C688" s="37">
        <v>6.0</v>
      </c>
      <c r="D688" s="30">
        <v>3.263280124898E12</v>
      </c>
      <c r="E688" s="38">
        <v>5.55</v>
      </c>
      <c r="F688" s="32">
        <v>33.3</v>
      </c>
      <c r="G688" s="33"/>
      <c r="H688" s="39">
        <f t="shared" ref="H688:H691" si="70">G688*F688</f>
        <v>0</v>
      </c>
    </row>
    <row r="689" ht="15.0" customHeight="1">
      <c r="A689" s="35" t="s">
        <v>862</v>
      </c>
      <c r="B689" s="36" t="s">
        <v>697</v>
      </c>
      <c r="C689" s="37">
        <v>6.0</v>
      </c>
      <c r="D689" s="30">
        <v>3.50061011537E12</v>
      </c>
      <c r="E689" s="38">
        <v>5.35</v>
      </c>
      <c r="F689" s="32">
        <v>32.1</v>
      </c>
      <c r="G689" s="33"/>
      <c r="H689" s="39">
        <f t="shared" si="70"/>
        <v>0</v>
      </c>
    </row>
    <row r="690" ht="15.0" customHeight="1">
      <c r="A690" s="35" t="s">
        <v>863</v>
      </c>
      <c r="B690" s="36" t="s">
        <v>864</v>
      </c>
      <c r="C690" s="37">
        <v>6.0</v>
      </c>
      <c r="D690" s="30" t="s">
        <v>865</v>
      </c>
      <c r="E690" s="38">
        <v>10.25</v>
      </c>
      <c r="F690" s="32">
        <v>61.5</v>
      </c>
      <c r="G690" s="33"/>
      <c r="H690" s="39">
        <f t="shared" si="70"/>
        <v>0</v>
      </c>
    </row>
    <row r="691" ht="15.0" customHeight="1">
      <c r="A691" s="35" t="s">
        <v>866</v>
      </c>
      <c r="B691" s="36" t="s">
        <v>697</v>
      </c>
      <c r="C691" s="37">
        <v>6.0</v>
      </c>
      <c r="D691" s="30">
        <v>3.26328012737E12</v>
      </c>
      <c r="E691" s="38">
        <v>7.25</v>
      </c>
      <c r="F691" s="32">
        <v>43.5</v>
      </c>
      <c r="G691" s="33"/>
      <c r="H691" s="39">
        <f t="shared" si="70"/>
        <v>0</v>
      </c>
    </row>
    <row r="692" ht="15.0" customHeight="1">
      <c r="A692" s="27" t="s">
        <v>867</v>
      </c>
      <c r="B692" s="28"/>
      <c r="C692" s="29"/>
      <c r="D692" s="30"/>
      <c r="E692" s="31"/>
      <c r="F692" s="32"/>
      <c r="G692" s="33"/>
      <c r="H692" s="39"/>
    </row>
    <row r="693" ht="15.0" customHeight="1">
      <c r="A693" s="35" t="s">
        <v>868</v>
      </c>
      <c r="B693" s="36" t="s">
        <v>697</v>
      </c>
      <c r="C693" s="37">
        <v>6.0</v>
      </c>
      <c r="D693" s="30">
        <v>3.296180000047E12</v>
      </c>
      <c r="E693" s="38">
        <v>3.95</v>
      </c>
      <c r="F693" s="32">
        <v>23.7</v>
      </c>
      <c r="G693" s="33"/>
      <c r="H693" s="39">
        <f t="shared" ref="H693:H695" si="71">G693*F693</f>
        <v>0</v>
      </c>
    </row>
    <row r="694" ht="15.0" customHeight="1">
      <c r="A694" s="35" t="s">
        <v>869</v>
      </c>
      <c r="B694" s="36" t="s">
        <v>697</v>
      </c>
      <c r="C694" s="37">
        <v>6.0</v>
      </c>
      <c r="D694" s="30">
        <v>3.296180004229E12</v>
      </c>
      <c r="E694" s="38">
        <v>3.95</v>
      </c>
      <c r="F694" s="32">
        <v>23.7</v>
      </c>
      <c r="G694" s="33"/>
      <c r="H694" s="39">
        <f t="shared" si="71"/>
        <v>0</v>
      </c>
    </row>
    <row r="695" ht="15.0" customHeight="1">
      <c r="A695" s="35" t="s">
        <v>870</v>
      </c>
      <c r="B695" s="36" t="s">
        <v>697</v>
      </c>
      <c r="C695" s="37">
        <v>6.0</v>
      </c>
      <c r="D695" s="30">
        <v>3.296180000016E12</v>
      </c>
      <c r="E695" s="38">
        <v>3.95</v>
      </c>
      <c r="F695" s="32">
        <v>23.7</v>
      </c>
      <c r="G695" s="33"/>
      <c r="H695" s="39">
        <f t="shared" si="71"/>
        <v>0</v>
      </c>
    </row>
    <row r="696" ht="15.0" customHeight="1">
      <c r="A696" s="27" t="s">
        <v>871</v>
      </c>
      <c r="B696" s="28"/>
      <c r="C696" s="29"/>
      <c r="D696" s="30"/>
      <c r="E696" s="31"/>
      <c r="F696" s="32"/>
      <c r="G696" s="33"/>
      <c r="H696" s="39"/>
    </row>
    <row r="697" ht="15.0" customHeight="1">
      <c r="A697" s="35" t="s">
        <v>872</v>
      </c>
      <c r="B697" s="36" t="s">
        <v>697</v>
      </c>
      <c r="C697" s="37">
        <v>6.0</v>
      </c>
      <c r="D697" s="30">
        <v>3.29618000793E12</v>
      </c>
      <c r="E697" s="38">
        <v>4.5</v>
      </c>
      <c r="F697" s="32">
        <v>27.0</v>
      </c>
      <c r="G697" s="33"/>
      <c r="H697" s="39">
        <f t="shared" ref="H697:H699" si="72">G697*F697</f>
        <v>0</v>
      </c>
    </row>
    <row r="698" ht="15.0" customHeight="1">
      <c r="A698" s="35" t="s">
        <v>873</v>
      </c>
      <c r="B698" s="36" t="s">
        <v>697</v>
      </c>
      <c r="C698" s="37">
        <v>6.0</v>
      </c>
      <c r="D698" s="30">
        <v>3.296180007978E12</v>
      </c>
      <c r="E698" s="38">
        <v>4.5</v>
      </c>
      <c r="F698" s="32">
        <v>27.0</v>
      </c>
      <c r="G698" s="33"/>
      <c r="H698" s="39">
        <f t="shared" si="72"/>
        <v>0</v>
      </c>
    </row>
    <row r="699" ht="15.0" customHeight="1">
      <c r="A699" s="35" t="s">
        <v>874</v>
      </c>
      <c r="B699" s="36" t="s">
        <v>697</v>
      </c>
      <c r="C699" s="37">
        <v>6.0</v>
      </c>
      <c r="D699" s="30">
        <v>3.296180008005E12</v>
      </c>
      <c r="E699" s="38">
        <v>4.5</v>
      </c>
      <c r="F699" s="32">
        <v>27.0</v>
      </c>
      <c r="G699" s="33"/>
      <c r="H699" s="39">
        <f t="shared" si="72"/>
        <v>0</v>
      </c>
    </row>
    <row r="700" ht="15.0" customHeight="1">
      <c r="A700" s="27" t="s">
        <v>875</v>
      </c>
      <c r="B700" s="28"/>
      <c r="C700" s="29"/>
      <c r="D700" s="30"/>
      <c r="E700" s="31"/>
      <c r="F700" s="32"/>
      <c r="G700" s="33"/>
      <c r="H700" s="39"/>
    </row>
    <row r="701" ht="15.0" customHeight="1">
      <c r="A701" s="35" t="s">
        <v>876</v>
      </c>
      <c r="B701" s="36" t="s">
        <v>697</v>
      </c>
      <c r="C701" s="37">
        <v>6.0</v>
      </c>
      <c r="D701" s="30">
        <v>3.760167392604E12</v>
      </c>
      <c r="E701" s="38">
        <v>3.15</v>
      </c>
      <c r="F701" s="32">
        <v>18.9</v>
      </c>
      <c r="G701" s="33"/>
      <c r="H701" s="39">
        <f t="shared" ref="H701:H705" si="73">G701*F701</f>
        <v>0</v>
      </c>
    </row>
    <row r="702" ht="15.0" customHeight="1">
      <c r="A702" s="35" t="s">
        <v>877</v>
      </c>
      <c r="B702" s="36" t="s">
        <v>697</v>
      </c>
      <c r="C702" s="37">
        <v>6.0</v>
      </c>
      <c r="D702" s="30">
        <v>3.760167392727E12</v>
      </c>
      <c r="E702" s="38">
        <v>3.15</v>
      </c>
      <c r="F702" s="32">
        <v>18.9</v>
      </c>
      <c r="G702" s="33"/>
      <c r="H702" s="39">
        <f t="shared" si="73"/>
        <v>0</v>
      </c>
    </row>
    <row r="703" ht="15.0" customHeight="1">
      <c r="A703" s="35" t="s">
        <v>878</v>
      </c>
      <c r="B703" s="36" t="s">
        <v>697</v>
      </c>
      <c r="C703" s="37">
        <v>6.0</v>
      </c>
      <c r="D703" s="30">
        <v>3.760167391959E12</v>
      </c>
      <c r="E703" s="38">
        <v>3.55</v>
      </c>
      <c r="F703" s="32">
        <v>21.3</v>
      </c>
      <c r="G703" s="33"/>
      <c r="H703" s="39">
        <f t="shared" si="73"/>
        <v>0</v>
      </c>
    </row>
    <row r="704" ht="15.0" customHeight="1">
      <c r="A704" s="35" t="s">
        <v>879</v>
      </c>
      <c r="B704" s="36" t="s">
        <v>697</v>
      </c>
      <c r="C704" s="37">
        <v>6.0</v>
      </c>
      <c r="D704" s="30">
        <v>3.76016739338E12</v>
      </c>
      <c r="E704" s="38">
        <v>3.55</v>
      </c>
      <c r="F704" s="32">
        <v>21.3</v>
      </c>
      <c r="G704" s="33"/>
      <c r="H704" s="39">
        <f t="shared" si="73"/>
        <v>0</v>
      </c>
    </row>
    <row r="705" ht="15.0" customHeight="1">
      <c r="A705" s="35" t="s">
        <v>880</v>
      </c>
      <c r="B705" s="36" t="s">
        <v>697</v>
      </c>
      <c r="C705" s="37">
        <v>6.0</v>
      </c>
      <c r="D705" s="30">
        <v>3.76016739383E12</v>
      </c>
      <c r="E705" s="38">
        <v>3.45</v>
      </c>
      <c r="F705" s="32">
        <v>20.7</v>
      </c>
      <c r="G705" s="33"/>
      <c r="H705" s="39">
        <f t="shared" si="73"/>
        <v>0</v>
      </c>
    </row>
    <row r="706" ht="15.0" customHeight="1">
      <c r="A706" s="27" t="s">
        <v>881</v>
      </c>
      <c r="B706" s="28"/>
      <c r="C706" s="29"/>
      <c r="D706" s="30"/>
      <c r="E706" s="31"/>
      <c r="F706" s="32"/>
      <c r="G706" s="33"/>
      <c r="H706" s="39"/>
    </row>
    <row r="707" ht="15.0" customHeight="1">
      <c r="A707" s="35" t="s">
        <v>882</v>
      </c>
      <c r="B707" s="36" t="s">
        <v>697</v>
      </c>
      <c r="C707" s="37">
        <v>6.0</v>
      </c>
      <c r="D707" s="30">
        <v>3.211200037612E12</v>
      </c>
      <c r="E707" s="38">
        <v>2.19</v>
      </c>
      <c r="F707" s="32">
        <v>13.14</v>
      </c>
      <c r="G707" s="33"/>
      <c r="H707" s="39">
        <f t="shared" ref="H707:H711" si="74">G707*F707</f>
        <v>0</v>
      </c>
    </row>
    <row r="708" ht="15.0" customHeight="1">
      <c r="A708" s="35" t="s">
        <v>883</v>
      </c>
      <c r="B708" s="36" t="s">
        <v>697</v>
      </c>
      <c r="C708" s="37">
        <v>6.0</v>
      </c>
      <c r="D708" s="30" t="s">
        <v>884</v>
      </c>
      <c r="E708" s="38">
        <v>3.8</v>
      </c>
      <c r="F708" s="32">
        <v>22.8</v>
      </c>
      <c r="G708" s="33"/>
      <c r="H708" s="39">
        <f t="shared" si="74"/>
        <v>0</v>
      </c>
    </row>
    <row r="709" ht="15.0" customHeight="1">
      <c r="A709" s="35" t="s">
        <v>885</v>
      </c>
      <c r="B709" s="36" t="s">
        <v>697</v>
      </c>
      <c r="C709" s="37">
        <v>6.0</v>
      </c>
      <c r="D709" s="30">
        <v>3.760167391157E12</v>
      </c>
      <c r="E709" s="38">
        <v>3.8</v>
      </c>
      <c r="F709" s="32">
        <v>22.8</v>
      </c>
      <c r="G709" s="33"/>
      <c r="H709" s="39">
        <f t="shared" si="74"/>
        <v>0</v>
      </c>
    </row>
    <row r="710" ht="15.0" customHeight="1">
      <c r="A710" s="35" t="s">
        <v>886</v>
      </c>
      <c r="B710" s="36" t="s">
        <v>697</v>
      </c>
      <c r="C710" s="37">
        <v>6.0</v>
      </c>
      <c r="D710" s="30">
        <v>3.760167391171E12</v>
      </c>
      <c r="E710" s="38">
        <v>3.8</v>
      </c>
      <c r="F710" s="32">
        <v>22.8</v>
      </c>
      <c r="G710" s="33"/>
      <c r="H710" s="39">
        <f t="shared" si="74"/>
        <v>0</v>
      </c>
    </row>
    <row r="711" ht="15.0" customHeight="1">
      <c r="A711" s="35" t="s">
        <v>887</v>
      </c>
      <c r="B711" s="36" t="s">
        <v>697</v>
      </c>
      <c r="C711" s="37">
        <v>6.0</v>
      </c>
      <c r="D711" s="30">
        <v>3.76016739143E12</v>
      </c>
      <c r="E711" s="38">
        <v>4.15</v>
      </c>
      <c r="F711" s="32">
        <v>24.9</v>
      </c>
      <c r="G711" s="33"/>
      <c r="H711" s="39">
        <f t="shared" si="74"/>
        <v>0</v>
      </c>
    </row>
    <row r="712" ht="15.0" customHeight="1">
      <c r="A712" s="27" t="s">
        <v>888</v>
      </c>
      <c r="B712" s="28"/>
      <c r="C712" s="29"/>
      <c r="D712" s="30"/>
      <c r="E712" s="31"/>
      <c r="F712" s="32"/>
      <c r="G712" s="33"/>
      <c r="H712" s="39"/>
    </row>
    <row r="713" ht="15.0" customHeight="1">
      <c r="A713" s="35" t="s">
        <v>889</v>
      </c>
      <c r="B713" s="36" t="s">
        <v>697</v>
      </c>
      <c r="C713" s="37">
        <v>6.0</v>
      </c>
      <c r="D713" s="30">
        <v>3.760167393502E12</v>
      </c>
      <c r="E713" s="38">
        <v>3.95</v>
      </c>
      <c r="F713" s="32">
        <v>23.7</v>
      </c>
      <c r="G713" s="33"/>
      <c r="H713" s="39">
        <f t="shared" ref="H713:H715" si="75">G713*F713</f>
        <v>0</v>
      </c>
    </row>
    <row r="714" ht="15.0" customHeight="1">
      <c r="A714" s="35" t="s">
        <v>890</v>
      </c>
      <c r="B714" s="36" t="s">
        <v>697</v>
      </c>
      <c r="C714" s="37">
        <v>6.0</v>
      </c>
      <c r="D714" s="30">
        <v>3.760167392505E12</v>
      </c>
      <c r="E714" s="38">
        <v>3.85</v>
      </c>
      <c r="F714" s="32">
        <v>23.1</v>
      </c>
      <c r="G714" s="33"/>
      <c r="H714" s="39">
        <f t="shared" si="75"/>
        <v>0</v>
      </c>
    </row>
    <row r="715" ht="15.0" customHeight="1">
      <c r="A715" s="35" t="s">
        <v>891</v>
      </c>
      <c r="B715" s="36" t="s">
        <v>697</v>
      </c>
      <c r="C715" s="37">
        <v>6.0</v>
      </c>
      <c r="D715" s="30">
        <v>3.760167391508E12</v>
      </c>
      <c r="E715" s="38">
        <v>3.85</v>
      </c>
      <c r="F715" s="32">
        <v>23.1</v>
      </c>
      <c r="G715" s="33"/>
      <c r="H715" s="39">
        <f t="shared" si="75"/>
        <v>0</v>
      </c>
    </row>
    <row r="716" ht="15.0" customHeight="1">
      <c r="A716" s="27" t="s">
        <v>892</v>
      </c>
      <c r="B716" s="28"/>
      <c r="C716" s="29"/>
      <c r="D716" s="30"/>
      <c r="E716" s="31"/>
      <c r="F716" s="32"/>
      <c r="G716" s="33"/>
      <c r="H716" s="39"/>
    </row>
    <row r="717" ht="15.0" customHeight="1">
      <c r="A717" s="35" t="s">
        <v>893</v>
      </c>
      <c r="B717" s="36" t="s">
        <v>697</v>
      </c>
      <c r="C717" s="37">
        <v>6.0</v>
      </c>
      <c r="D717" s="30">
        <v>3.175520018624E12</v>
      </c>
      <c r="E717" s="38">
        <v>2.95</v>
      </c>
      <c r="F717" s="32">
        <v>17.7</v>
      </c>
      <c r="G717" s="33"/>
      <c r="H717" s="39">
        <f t="shared" ref="H717:H724" si="76">G717*F717</f>
        <v>0</v>
      </c>
    </row>
    <row r="718" ht="15.0" customHeight="1">
      <c r="A718" s="35" t="s">
        <v>894</v>
      </c>
      <c r="B718" s="36" t="s">
        <v>697</v>
      </c>
      <c r="C718" s="37">
        <v>6.0</v>
      </c>
      <c r="D718" s="89">
        <v>3.175529665379E12</v>
      </c>
      <c r="E718" s="38">
        <v>2.55</v>
      </c>
      <c r="F718" s="32">
        <v>15.3</v>
      </c>
      <c r="G718" s="33"/>
      <c r="H718" s="39">
        <f t="shared" si="76"/>
        <v>0</v>
      </c>
    </row>
    <row r="719" ht="15.0" customHeight="1">
      <c r="A719" s="35" t="s">
        <v>895</v>
      </c>
      <c r="B719" s="36" t="s">
        <v>697</v>
      </c>
      <c r="C719" s="37">
        <v>6.0</v>
      </c>
      <c r="D719" s="30">
        <v>3.175520018594E12</v>
      </c>
      <c r="E719" s="38">
        <v>2.55</v>
      </c>
      <c r="F719" s="32">
        <v>15.3</v>
      </c>
      <c r="G719" s="33"/>
      <c r="H719" s="39">
        <f t="shared" si="76"/>
        <v>0</v>
      </c>
    </row>
    <row r="720" ht="15.0" customHeight="1">
      <c r="A720" s="35" t="s">
        <v>896</v>
      </c>
      <c r="B720" s="36" t="s">
        <v>697</v>
      </c>
      <c r="C720" s="37">
        <v>6.0</v>
      </c>
      <c r="D720" s="30">
        <v>3.175520018686E12</v>
      </c>
      <c r="E720" s="38">
        <v>2.55</v>
      </c>
      <c r="F720" s="32">
        <v>15.3</v>
      </c>
      <c r="G720" s="33"/>
      <c r="H720" s="39">
        <f t="shared" si="76"/>
        <v>0</v>
      </c>
    </row>
    <row r="721" ht="15.0" customHeight="1">
      <c r="A721" s="35" t="s">
        <v>897</v>
      </c>
      <c r="B721" s="36" t="s">
        <v>697</v>
      </c>
      <c r="C721" s="37">
        <v>6.0</v>
      </c>
      <c r="D721" s="30">
        <v>3.175529633224E12</v>
      </c>
      <c r="E721" s="38">
        <v>2.55</v>
      </c>
      <c r="F721" s="32">
        <v>15.3</v>
      </c>
      <c r="G721" s="33"/>
      <c r="H721" s="39">
        <f t="shared" si="76"/>
        <v>0</v>
      </c>
    </row>
    <row r="722" ht="15.0" customHeight="1">
      <c r="A722" s="35" t="s">
        <v>898</v>
      </c>
      <c r="B722" s="36" t="s">
        <v>697</v>
      </c>
      <c r="C722" s="37">
        <v>6.0</v>
      </c>
      <c r="D722" s="30">
        <v>3.175520020597E12</v>
      </c>
      <c r="E722" s="38">
        <v>2.55</v>
      </c>
      <c r="F722" s="32">
        <v>15.3</v>
      </c>
      <c r="G722" s="33"/>
      <c r="H722" s="39">
        <f t="shared" si="76"/>
        <v>0</v>
      </c>
    </row>
    <row r="723" ht="15.0" customHeight="1">
      <c r="A723" s="35" t="s">
        <v>899</v>
      </c>
      <c r="B723" s="36" t="s">
        <v>697</v>
      </c>
      <c r="C723" s="37">
        <v>6.0</v>
      </c>
      <c r="D723" s="30">
        <v>3.175520018716E12</v>
      </c>
      <c r="E723" s="38">
        <v>2.55</v>
      </c>
      <c r="F723" s="32">
        <v>15.3</v>
      </c>
      <c r="G723" s="33"/>
      <c r="H723" s="39">
        <f t="shared" si="76"/>
        <v>0</v>
      </c>
    </row>
    <row r="724" ht="15.0" customHeight="1">
      <c r="A724" s="35" t="s">
        <v>900</v>
      </c>
      <c r="B724" s="36" t="s">
        <v>697</v>
      </c>
      <c r="C724" s="37">
        <v>6.0</v>
      </c>
      <c r="D724" s="30">
        <v>3.175520018655E12</v>
      </c>
      <c r="E724" s="38">
        <v>2.55</v>
      </c>
      <c r="F724" s="32">
        <v>15.3</v>
      </c>
      <c r="G724" s="33"/>
      <c r="H724" s="39">
        <f t="shared" si="76"/>
        <v>0</v>
      </c>
    </row>
    <row r="725" ht="15.0" customHeight="1">
      <c r="A725" s="27" t="s">
        <v>901</v>
      </c>
      <c r="B725" s="28"/>
      <c r="C725" s="29"/>
      <c r="D725" s="30"/>
      <c r="E725" s="31"/>
      <c r="F725" s="32"/>
      <c r="G725" s="33"/>
      <c r="H725" s="39"/>
    </row>
    <row r="726" ht="15.0" customHeight="1">
      <c r="A726" s="35" t="s">
        <v>902</v>
      </c>
      <c r="B726" s="36" t="s">
        <v>697</v>
      </c>
      <c r="C726" s="37">
        <v>6.0</v>
      </c>
      <c r="D726" s="30">
        <v>3.263286301316E12</v>
      </c>
      <c r="E726" s="38">
        <v>2.55</v>
      </c>
      <c r="F726" s="32">
        <v>15.3</v>
      </c>
      <c r="G726" s="33"/>
      <c r="H726" s="39">
        <f t="shared" ref="H726:H729" si="77">G726*F726</f>
        <v>0</v>
      </c>
    </row>
    <row r="727" ht="15.0" customHeight="1">
      <c r="A727" s="35" t="s">
        <v>903</v>
      </c>
      <c r="B727" s="36" t="s">
        <v>697</v>
      </c>
      <c r="C727" s="37">
        <v>6.0</v>
      </c>
      <c r="D727" s="30">
        <v>3.263286301385E12</v>
      </c>
      <c r="E727" s="38">
        <v>2.55</v>
      </c>
      <c r="F727" s="32">
        <v>15.3</v>
      </c>
      <c r="G727" s="33"/>
      <c r="H727" s="39">
        <f t="shared" si="77"/>
        <v>0</v>
      </c>
    </row>
    <row r="728" ht="15.0" customHeight="1">
      <c r="A728" s="35" t="s">
        <v>904</v>
      </c>
      <c r="B728" s="36" t="s">
        <v>697</v>
      </c>
      <c r="C728" s="37">
        <v>6.0</v>
      </c>
      <c r="D728" s="30">
        <v>3.263286301323E12</v>
      </c>
      <c r="E728" s="38">
        <v>2.55</v>
      </c>
      <c r="F728" s="32">
        <v>15.3</v>
      </c>
      <c r="G728" s="33"/>
      <c r="H728" s="39">
        <f t="shared" si="77"/>
        <v>0</v>
      </c>
    </row>
    <row r="729" ht="15.0" customHeight="1">
      <c r="A729" s="35" t="s">
        <v>905</v>
      </c>
      <c r="B729" s="36" t="s">
        <v>697</v>
      </c>
      <c r="C729" s="37">
        <v>6.0</v>
      </c>
      <c r="D729" s="30">
        <v>3.263286328993E12</v>
      </c>
      <c r="E729" s="38">
        <v>2.55</v>
      </c>
      <c r="F729" s="32">
        <v>15.3</v>
      </c>
      <c r="G729" s="33"/>
      <c r="H729" s="39">
        <f t="shared" si="77"/>
        <v>0</v>
      </c>
    </row>
    <row r="730" ht="15.0" customHeight="1">
      <c r="A730" s="27" t="s">
        <v>906</v>
      </c>
      <c r="B730" s="28"/>
      <c r="C730" s="29"/>
      <c r="D730" s="30"/>
      <c r="E730" s="31"/>
      <c r="F730" s="32"/>
      <c r="G730" s="33"/>
      <c r="H730" s="39"/>
    </row>
    <row r="731" ht="15.0" customHeight="1">
      <c r="A731" s="35" t="s">
        <v>907</v>
      </c>
      <c r="B731" s="36" t="s">
        <v>697</v>
      </c>
      <c r="C731" s="37">
        <v>6.0</v>
      </c>
      <c r="D731" s="30">
        <v>3.179071000978E12</v>
      </c>
      <c r="E731" s="38">
        <v>2.5</v>
      </c>
      <c r="F731" s="32">
        <v>15.0</v>
      </c>
      <c r="G731" s="33"/>
      <c r="H731" s="39">
        <f t="shared" ref="H731:H733" si="78">G731*F731</f>
        <v>0</v>
      </c>
    </row>
    <row r="732" ht="15.0" customHeight="1">
      <c r="A732" s="35" t="s">
        <v>908</v>
      </c>
      <c r="B732" s="36" t="s">
        <v>697</v>
      </c>
      <c r="C732" s="37">
        <v>6.0</v>
      </c>
      <c r="D732" s="30" t="s">
        <v>909</v>
      </c>
      <c r="E732" s="38">
        <v>2.5</v>
      </c>
      <c r="F732" s="32">
        <v>15.0</v>
      </c>
      <c r="G732" s="33"/>
      <c r="H732" s="39">
        <f t="shared" si="78"/>
        <v>0</v>
      </c>
    </row>
    <row r="733" ht="15.0" customHeight="1">
      <c r="A733" s="35" t="s">
        <v>910</v>
      </c>
      <c r="B733" s="36" t="s">
        <v>697</v>
      </c>
      <c r="C733" s="37">
        <v>6.0</v>
      </c>
      <c r="D733" s="30">
        <v>3.179071001005E12</v>
      </c>
      <c r="E733" s="38">
        <v>2.5</v>
      </c>
      <c r="F733" s="32">
        <v>15.0</v>
      </c>
      <c r="G733" s="33"/>
      <c r="H733" s="39">
        <f t="shared" si="78"/>
        <v>0</v>
      </c>
    </row>
    <row r="734" ht="15.0" customHeight="1">
      <c r="A734" s="27" t="s">
        <v>911</v>
      </c>
      <c r="B734" s="28"/>
      <c r="C734" s="29"/>
      <c r="D734" s="30"/>
      <c r="E734" s="31"/>
      <c r="F734" s="32"/>
      <c r="G734" s="33"/>
      <c r="H734" s="39"/>
    </row>
    <row r="735" ht="15.0" customHeight="1">
      <c r="A735" s="35" t="s">
        <v>912</v>
      </c>
      <c r="B735" s="36" t="s">
        <v>697</v>
      </c>
      <c r="C735" s="37">
        <v>6.0</v>
      </c>
      <c r="D735" s="30">
        <v>3.486640007031E12</v>
      </c>
      <c r="E735" s="38">
        <v>3.15</v>
      </c>
      <c r="F735" s="32">
        <v>18.9</v>
      </c>
      <c r="G735" s="33"/>
      <c r="H735" s="39">
        <f t="shared" ref="H735:H736" si="79">G735*F735</f>
        <v>0</v>
      </c>
    </row>
    <row r="736" ht="15.0" customHeight="1">
      <c r="A736" s="35" t="s">
        <v>913</v>
      </c>
      <c r="B736" s="36" t="s">
        <v>697</v>
      </c>
      <c r="C736" s="37">
        <v>6.0</v>
      </c>
      <c r="D736" s="30">
        <v>3.486640007055E12</v>
      </c>
      <c r="E736" s="38">
        <v>3.15</v>
      </c>
      <c r="F736" s="32">
        <v>18.9</v>
      </c>
      <c r="G736" s="33"/>
      <c r="H736" s="39">
        <f t="shared" si="79"/>
        <v>0</v>
      </c>
    </row>
    <row r="737" ht="15.0" customHeight="1">
      <c r="A737" s="27" t="s">
        <v>914</v>
      </c>
      <c r="B737" s="28"/>
      <c r="C737" s="29"/>
      <c r="D737" s="30"/>
      <c r="E737" s="31"/>
      <c r="F737" s="32"/>
      <c r="G737" s="33"/>
      <c r="H737" s="39"/>
    </row>
    <row r="738" ht="15.0" customHeight="1">
      <c r="A738" s="35" t="s">
        <v>915</v>
      </c>
      <c r="B738" s="36" t="s">
        <v>697</v>
      </c>
      <c r="C738" s="37">
        <v>6.0</v>
      </c>
      <c r="D738" s="30">
        <v>3.272590340164E12</v>
      </c>
      <c r="E738" s="38">
        <v>3.95</v>
      </c>
      <c r="F738" s="32">
        <v>23.7</v>
      </c>
      <c r="G738" s="33"/>
      <c r="H738" s="39">
        <f t="shared" ref="H738:H740" si="80">G738*F738</f>
        <v>0</v>
      </c>
    </row>
    <row r="739" ht="15.0" customHeight="1">
      <c r="A739" s="35" t="s">
        <v>916</v>
      </c>
      <c r="B739" s="36" t="s">
        <v>697</v>
      </c>
      <c r="C739" s="37">
        <v>6.0</v>
      </c>
      <c r="D739" s="30">
        <v>3.280110660005E12</v>
      </c>
      <c r="E739" s="38">
        <v>3.95</v>
      </c>
      <c r="F739" s="32">
        <v>23.7</v>
      </c>
      <c r="G739" s="33"/>
      <c r="H739" s="39">
        <f t="shared" si="80"/>
        <v>0</v>
      </c>
    </row>
    <row r="740" ht="15.0" customHeight="1">
      <c r="A740" s="35" t="s">
        <v>917</v>
      </c>
      <c r="B740" s="36" t="s">
        <v>697</v>
      </c>
      <c r="C740" s="37">
        <v>6.0</v>
      </c>
      <c r="D740" s="30">
        <v>3.272590340171E12</v>
      </c>
      <c r="E740" s="38">
        <v>3.95</v>
      </c>
      <c r="F740" s="32">
        <v>23.7</v>
      </c>
      <c r="G740" s="33"/>
      <c r="H740" s="39">
        <f t="shared" si="80"/>
        <v>0</v>
      </c>
    </row>
    <row r="741" ht="15.0" customHeight="1">
      <c r="A741" s="27" t="s">
        <v>918</v>
      </c>
      <c r="B741" s="28"/>
      <c r="C741" s="29"/>
      <c r="D741" s="30"/>
      <c r="E741" s="31"/>
      <c r="F741" s="32"/>
      <c r="G741" s="33"/>
      <c r="H741" s="39"/>
    </row>
    <row r="742" ht="15.0" customHeight="1">
      <c r="A742" s="35" t="s">
        <v>919</v>
      </c>
      <c r="B742" s="36" t="s">
        <v>697</v>
      </c>
      <c r="C742" s="37">
        <v>6.0</v>
      </c>
      <c r="D742" s="30">
        <v>3.211209269434E12</v>
      </c>
      <c r="E742" s="38">
        <v>2.45</v>
      </c>
      <c r="F742" s="32">
        <v>14.7</v>
      </c>
      <c r="G742" s="33"/>
      <c r="H742" s="39">
        <f t="shared" ref="H742:H751" si="81">G742*F742</f>
        <v>0</v>
      </c>
    </row>
    <row r="743" ht="15.0" customHeight="1">
      <c r="A743" s="35" t="s">
        <v>920</v>
      </c>
      <c r="B743" s="36" t="s">
        <v>697</v>
      </c>
      <c r="C743" s="37">
        <v>6.0</v>
      </c>
      <c r="D743" s="30">
        <v>3.211209254461E12</v>
      </c>
      <c r="E743" s="38">
        <v>2.45</v>
      </c>
      <c r="F743" s="32">
        <v>14.7</v>
      </c>
      <c r="G743" s="33"/>
      <c r="H743" s="39">
        <f t="shared" si="81"/>
        <v>0</v>
      </c>
    </row>
    <row r="744" ht="15.0" customHeight="1">
      <c r="A744" s="44" t="s">
        <v>921</v>
      </c>
      <c r="B744" s="36" t="s">
        <v>697</v>
      </c>
      <c r="C744" s="37">
        <v>6.0</v>
      </c>
      <c r="D744" s="30">
        <v>3.211200315864E12</v>
      </c>
      <c r="E744" s="38">
        <v>2.45</v>
      </c>
      <c r="F744" s="32">
        <v>14.7</v>
      </c>
      <c r="G744" s="33"/>
      <c r="H744" s="39">
        <f t="shared" si="81"/>
        <v>0</v>
      </c>
    </row>
    <row r="745" ht="15.0" customHeight="1">
      <c r="A745" s="35" t="s">
        <v>922</v>
      </c>
      <c r="B745" s="36" t="s">
        <v>697</v>
      </c>
      <c r="C745" s="37">
        <v>6.0</v>
      </c>
      <c r="D745" s="30">
        <v>3.211209269533E12</v>
      </c>
      <c r="E745" s="38">
        <v>2.45</v>
      </c>
      <c r="F745" s="32">
        <v>14.7</v>
      </c>
      <c r="G745" s="33"/>
      <c r="H745" s="39">
        <f t="shared" si="81"/>
        <v>0</v>
      </c>
    </row>
    <row r="746" ht="15.0" customHeight="1">
      <c r="A746" s="35" t="s">
        <v>923</v>
      </c>
      <c r="B746" s="36" t="s">
        <v>697</v>
      </c>
      <c r="C746" s="37">
        <v>6.0</v>
      </c>
      <c r="D746" s="30">
        <v>3.211209239208E12</v>
      </c>
      <c r="E746" s="38">
        <v>2.45</v>
      </c>
      <c r="F746" s="32">
        <v>14.7</v>
      </c>
      <c r="G746" s="33"/>
      <c r="H746" s="39">
        <f t="shared" si="81"/>
        <v>0</v>
      </c>
    </row>
    <row r="747" ht="15.0" customHeight="1">
      <c r="A747" s="35" t="s">
        <v>924</v>
      </c>
      <c r="B747" s="36" t="s">
        <v>697</v>
      </c>
      <c r="C747" s="37">
        <v>6.0</v>
      </c>
      <c r="D747" s="30">
        <v>3.211209207917E12</v>
      </c>
      <c r="E747" s="38">
        <v>2.45</v>
      </c>
      <c r="F747" s="32">
        <v>14.7</v>
      </c>
      <c r="G747" s="33"/>
      <c r="H747" s="39">
        <f t="shared" si="81"/>
        <v>0</v>
      </c>
    </row>
    <row r="748" ht="15.0" customHeight="1">
      <c r="A748" s="35" t="s">
        <v>925</v>
      </c>
      <c r="B748" s="36" t="s">
        <v>697</v>
      </c>
      <c r="C748" s="37">
        <v>6.0</v>
      </c>
      <c r="D748" s="30">
        <v>3.211209289647E12</v>
      </c>
      <c r="E748" s="38">
        <v>2.45</v>
      </c>
      <c r="F748" s="32">
        <v>14.7</v>
      </c>
      <c r="G748" s="33"/>
      <c r="H748" s="39">
        <f t="shared" si="81"/>
        <v>0</v>
      </c>
    </row>
    <row r="749" ht="15.0" customHeight="1">
      <c r="A749" s="35" t="s">
        <v>926</v>
      </c>
      <c r="B749" s="36" t="s">
        <v>697</v>
      </c>
      <c r="C749" s="37">
        <v>6.0</v>
      </c>
      <c r="D749" s="30">
        <v>3.211209220503E12</v>
      </c>
      <c r="E749" s="38">
        <v>2.45</v>
      </c>
      <c r="F749" s="32">
        <v>14.7</v>
      </c>
      <c r="G749" s="33"/>
      <c r="H749" s="39">
        <f t="shared" si="81"/>
        <v>0</v>
      </c>
    </row>
    <row r="750" ht="15.0" customHeight="1">
      <c r="A750" s="35" t="s">
        <v>927</v>
      </c>
      <c r="B750" s="36" t="s">
        <v>697</v>
      </c>
      <c r="C750" s="37">
        <v>6.0</v>
      </c>
      <c r="D750" s="30">
        <v>3.211200103737E12</v>
      </c>
      <c r="E750" s="38">
        <v>3.1</v>
      </c>
      <c r="F750" s="32">
        <v>18.6</v>
      </c>
      <c r="G750" s="33"/>
      <c r="H750" s="39">
        <f t="shared" si="81"/>
        <v>0</v>
      </c>
    </row>
    <row r="751" ht="15.0" customHeight="1">
      <c r="A751" s="35" t="s">
        <v>928</v>
      </c>
      <c r="B751" s="36" t="s">
        <v>697</v>
      </c>
      <c r="C751" s="37">
        <v>6.0</v>
      </c>
      <c r="D751" s="30">
        <v>3.211200103782E12</v>
      </c>
      <c r="E751" s="38">
        <v>3.1</v>
      </c>
      <c r="F751" s="32">
        <v>18.6</v>
      </c>
      <c r="G751" s="33"/>
      <c r="H751" s="39">
        <f t="shared" si="81"/>
        <v>0</v>
      </c>
    </row>
    <row r="752" ht="15.0" customHeight="1">
      <c r="A752" s="27" t="s">
        <v>929</v>
      </c>
      <c r="B752" s="28"/>
      <c r="C752" s="29"/>
      <c r="D752" s="30"/>
      <c r="E752" s="31"/>
      <c r="F752" s="32"/>
      <c r="G752" s="33"/>
      <c r="H752" s="39"/>
    </row>
    <row r="753" ht="15.0" customHeight="1">
      <c r="A753" s="35" t="s">
        <v>930</v>
      </c>
      <c r="B753" s="36" t="s">
        <v>697</v>
      </c>
      <c r="C753" s="37">
        <v>6.0</v>
      </c>
      <c r="D753" s="30" t="s">
        <v>216</v>
      </c>
      <c r="E753" s="38">
        <v>4.65</v>
      </c>
      <c r="F753" s="32">
        <v>27.9</v>
      </c>
      <c r="G753" s="33"/>
      <c r="H753" s="39">
        <f t="shared" ref="H753:H757" si="82">G753*F753</f>
        <v>0</v>
      </c>
    </row>
    <row r="754" ht="15.0" customHeight="1">
      <c r="A754" s="35" t="s">
        <v>931</v>
      </c>
      <c r="B754" s="36" t="s">
        <v>697</v>
      </c>
      <c r="C754" s="37">
        <v>6.0</v>
      </c>
      <c r="D754" s="30" t="s">
        <v>216</v>
      </c>
      <c r="E754" s="38">
        <v>7.15</v>
      </c>
      <c r="F754" s="32">
        <v>42.9</v>
      </c>
      <c r="G754" s="33"/>
      <c r="H754" s="39">
        <f t="shared" si="82"/>
        <v>0</v>
      </c>
    </row>
    <row r="755" ht="15.0" customHeight="1">
      <c r="A755" s="35" t="s">
        <v>932</v>
      </c>
      <c r="B755" s="36" t="s">
        <v>697</v>
      </c>
      <c r="C755" s="37">
        <v>6.0</v>
      </c>
      <c r="D755" s="30">
        <v>3.359880100025E12</v>
      </c>
      <c r="E755" s="38">
        <v>6.95</v>
      </c>
      <c r="F755" s="32">
        <v>41.7</v>
      </c>
      <c r="G755" s="33"/>
      <c r="H755" s="39">
        <f t="shared" si="82"/>
        <v>0</v>
      </c>
    </row>
    <row r="756" ht="15.0" customHeight="1">
      <c r="A756" s="35" t="s">
        <v>933</v>
      </c>
      <c r="B756" s="36" t="s">
        <v>697</v>
      </c>
      <c r="C756" s="37">
        <v>6.0</v>
      </c>
      <c r="D756" s="30" t="s">
        <v>216</v>
      </c>
      <c r="E756" s="38">
        <v>4.95</v>
      </c>
      <c r="F756" s="32">
        <v>29.7</v>
      </c>
      <c r="G756" s="33"/>
      <c r="H756" s="39">
        <f t="shared" si="82"/>
        <v>0</v>
      </c>
    </row>
    <row r="757" ht="15.0" customHeight="1">
      <c r="A757" s="35" t="s">
        <v>934</v>
      </c>
      <c r="B757" s="36" t="s">
        <v>697</v>
      </c>
      <c r="C757" s="37">
        <v>6.0</v>
      </c>
      <c r="D757" s="30" t="s">
        <v>216</v>
      </c>
      <c r="E757" s="38">
        <v>7.35</v>
      </c>
      <c r="F757" s="32">
        <v>44.1</v>
      </c>
      <c r="G757" s="33"/>
      <c r="H757" s="39">
        <f t="shared" si="82"/>
        <v>0</v>
      </c>
    </row>
    <row r="758" ht="15.0" customHeight="1">
      <c r="A758" s="27" t="s">
        <v>935</v>
      </c>
      <c r="B758" s="28"/>
      <c r="C758" s="29"/>
      <c r="D758" s="30"/>
      <c r="E758" s="31"/>
      <c r="F758" s="32"/>
      <c r="G758" s="33"/>
      <c r="H758" s="39"/>
    </row>
    <row r="759" ht="15.0" customHeight="1">
      <c r="A759" s="44" t="s">
        <v>936</v>
      </c>
      <c r="B759" s="36" t="s">
        <v>697</v>
      </c>
      <c r="C759" s="37">
        <v>6.0</v>
      </c>
      <c r="D759" s="30">
        <v>3.760085610019E12</v>
      </c>
      <c r="E759" s="38">
        <v>5.9</v>
      </c>
      <c r="F759" s="32">
        <f t="shared" ref="F759:F760" si="83">E759*C759</f>
        <v>35.4</v>
      </c>
      <c r="G759" s="33"/>
      <c r="H759" s="39">
        <f t="shared" ref="H759:H765" si="84">G759*F759</f>
        <v>0</v>
      </c>
    </row>
    <row r="760" ht="15.0" customHeight="1">
      <c r="A760" s="44" t="s">
        <v>937</v>
      </c>
      <c r="B760" s="36" t="s">
        <v>697</v>
      </c>
      <c r="C760" s="37">
        <v>6.0</v>
      </c>
      <c r="D760" s="30">
        <v>3.760085610033E12</v>
      </c>
      <c r="E760" s="38">
        <v>6.9</v>
      </c>
      <c r="F760" s="32">
        <f t="shared" si="83"/>
        <v>41.4</v>
      </c>
      <c r="G760" s="33"/>
      <c r="H760" s="39">
        <f t="shared" si="84"/>
        <v>0</v>
      </c>
    </row>
    <row r="761" ht="15.0" customHeight="1">
      <c r="A761" s="27" t="s">
        <v>938</v>
      </c>
      <c r="B761" s="28"/>
      <c r="C761" s="29"/>
      <c r="D761" s="30"/>
      <c r="E761" s="31"/>
      <c r="F761" s="32"/>
      <c r="G761" s="33"/>
      <c r="H761" s="39">
        <f t="shared" si="84"/>
        <v>0</v>
      </c>
    </row>
    <row r="762" ht="15.0" customHeight="1">
      <c r="A762" s="35" t="s">
        <v>939</v>
      </c>
      <c r="B762" s="36" t="s">
        <v>697</v>
      </c>
      <c r="C762" s="37">
        <v>6.0</v>
      </c>
      <c r="D762" s="30" t="s">
        <v>940</v>
      </c>
      <c r="E762" s="38">
        <v>4.85</v>
      </c>
      <c r="F762" s="32">
        <v>29.1</v>
      </c>
      <c r="G762" s="33"/>
      <c r="H762" s="39">
        <f t="shared" si="84"/>
        <v>0</v>
      </c>
    </row>
    <row r="763" ht="15.0" customHeight="1">
      <c r="A763" s="35" t="s">
        <v>941</v>
      </c>
      <c r="B763" s="36" t="s">
        <v>697</v>
      </c>
      <c r="C763" s="37">
        <v>6.0</v>
      </c>
      <c r="D763" s="30">
        <v>3.760085610224E12</v>
      </c>
      <c r="E763" s="38">
        <v>5.0</v>
      </c>
      <c r="F763" s="32">
        <v>30.0</v>
      </c>
      <c r="G763" s="33"/>
      <c r="H763" s="39">
        <f t="shared" si="84"/>
        <v>0</v>
      </c>
    </row>
    <row r="764" ht="15.0" customHeight="1">
      <c r="A764" s="35" t="s">
        <v>942</v>
      </c>
      <c r="B764" s="36" t="s">
        <v>697</v>
      </c>
      <c r="C764" s="37">
        <v>6.0</v>
      </c>
      <c r="D764" s="30" t="s">
        <v>943</v>
      </c>
      <c r="E764" s="38">
        <v>6.25</v>
      </c>
      <c r="F764" s="32">
        <v>37.5</v>
      </c>
      <c r="G764" s="33"/>
      <c r="H764" s="39">
        <f t="shared" si="84"/>
        <v>0</v>
      </c>
    </row>
    <row r="765" ht="15.0" customHeight="1">
      <c r="A765" s="35" t="s">
        <v>944</v>
      </c>
      <c r="B765" s="36" t="s">
        <v>697</v>
      </c>
      <c r="C765" s="37">
        <v>6.0</v>
      </c>
      <c r="D765" s="30">
        <v>3.760085610255E12</v>
      </c>
      <c r="E765" s="38">
        <v>5.0</v>
      </c>
      <c r="F765" s="32">
        <v>30.0</v>
      </c>
      <c r="G765" s="33"/>
      <c r="H765" s="39">
        <f t="shared" si="84"/>
        <v>0</v>
      </c>
    </row>
    <row r="766" ht="15.0" customHeight="1">
      <c r="A766" s="27" t="s">
        <v>945</v>
      </c>
      <c r="B766" s="28"/>
      <c r="C766" s="29"/>
      <c r="D766" s="30"/>
      <c r="E766" s="31"/>
      <c r="F766" s="32"/>
      <c r="G766" s="33"/>
      <c r="H766" s="39"/>
    </row>
    <row r="767" ht="15.0" customHeight="1">
      <c r="A767" s="35" t="s">
        <v>946</v>
      </c>
      <c r="B767" s="36" t="s">
        <v>697</v>
      </c>
      <c r="C767" s="37">
        <v>6.0</v>
      </c>
      <c r="D767" s="30">
        <v>3.221240046895E12</v>
      </c>
      <c r="E767" s="38">
        <v>5.95</v>
      </c>
      <c r="F767" s="32">
        <v>35.7</v>
      </c>
      <c r="G767" s="33"/>
      <c r="H767" s="39">
        <f t="shared" ref="H767:H778" si="85">G767*F767</f>
        <v>0</v>
      </c>
    </row>
    <row r="768" ht="15.0" customHeight="1">
      <c r="A768" s="35" t="s">
        <v>947</v>
      </c>
      <c r="B768" s="36" t="s">
        <v>697</v>
      </c>
      <c r="C768" s="37">
        <v>6.0</v>
      </c>
      <c r="D768" s="30">
        <v>3.221240002952E12</v>
      </c>
      <c r="E768" s="38">
        <v>6.75</v>
      </c>
      <c r="F768" s="32">
        <v>40.5</v>
      </c>
      <c r="G768" s="33"/>
      <c r="H768" s="39">
        <f t="shared" si="85"/>
        <v>0</v>
      </c>
    </row>
    <row r="769" ht="15.0" customHeight="1">
      <c r="A769" s="35" t="s">
        <v>948</v>
      </c>
      <c r="B769" s="36" t="s">
        <v>697</v>
      </c>
      <c r="C769" s="37">
        <v>6.0</v>
      </c>
      <c r="D769" s="30">
        <v>3.221240056726E12</v>
      </c>
      <c r="E769" s="38">
        <v>6.95</v>
      </c>
      <c r="F769" s="32">
        <v>41.7</v>
      </c>
      <c r="G769" s="33"/>
      <c r="H769" s="39">
        <f t="shared" si="85"/>
        <v>0</v>
      </c>
    </row>
    <row r="770" ht="15.0" customHeight="1">
      <c r="A770" s="35" t="s">
        <v>949</v>
      </c>
      <c r="B770" s="36" t="s">
        <v>697</v>
      </c>
      <c r="C770" s="37">
        <v>6.0</v>
      </c>
      <c r="D770" s="30">
        <v>3.221249250002E12</v>
      </c>
      <c r="E770" s="38">
        <v>4.85</v>
      </c>
      <c r="F770" s="32">
        <v>29.1</v>
      </c>
      <c r="G770" s="33"/>
      <c r="H770" s="39">
        <f t="shared" si="85"/>
        <v>0</v>
      </c>
    </row>
    <row r="771" ht="15.0" customHeight="1">
      <c r="A771" s="35" t="s">
        <v>950</v>
      </c>
      <c r="B771" s="36" t="s">
        <v>697</v>
      </c>
      <c r="C771" s="37">
        <v>6.0</v>
      </c>
      <c r="D771" s="30">
        <v>3.221249450006E12</v>
      </c>
      <c r="E771" s="38">
        <v>5.65</v>
      </c>
      <c r="F771" s="32">
        <v>33.9</v>
      </c>
      <c r="G771" s="33"/>
      <c r="H771" s="39">
        <f t="shared" si="85"/>
        <v>0</v>
      </c>
    </row>
    <row r="772" ht="15.0" customHeight="1">
      <c r="A772" s="35" t="s">
        <v>951</v>
      </c>
      <c r="B772" s="36" t="s">
        <v>697</v>
      </c>
      <c r="C772" s="37">
        <v>6.0</v>
      </c>
      <c r="D772" s="30">
        <v>3.221249750007E12</v>
      </c>
      <c r="E772" s="38">
        <v>5.85</v>
      </c>
      <c r="F772" s="32">
        <v>35.1</v>
      </c>
      <c r="G772" s="33"/>
      <c r="H772" s="39">
        <f t="shared" si="85"/>
        <v>0</v>
      </c>
    </row>
    <row r="773" ht="15.0" customHeight="1">
      <c r="A773" s="35" t="s">
        <v>952</v>
      </c>
      <c r="B773" s="36" t="s">
        <v>697</v>
      </c>
      <c r="C773" s="37">
        <v>6.0</v>
      </c>
      <c r="D773" s="30">
        <v>3.221249550003E12</v>
      </c>
      <c r="E773" s="38">
        <v>5.45</v>
      </c>
      <c r="F773" s="32">
        <v>32.7</v>
      </c>
      <c r="G773" s="33"/>
      <c r="H773" s="39">
        <f t="shared" si="85"/>
        <v>0</v>
      </c>
    </row>
    <row r="774" ht="15.0" customHeight="1">
      <c r="A774" s="35" t="s">
        <v>953</v>
      </c>
      <c r="B774" s="36" t="s">
        <v>697</v>
      </c>
      <c r="C774" s="37">
        <v>6.0</v>
      </c>
      <c r="D774" s="30">
        <v>3.221249150005E12</v>
      </c>
      <c r="E774" s="38">
        <v>4.5</v>
      </c>
      <c r="F774" s="32">
        <v>27.0</v>
      </c>
      <c r="G774" s="33"/>
      <c r="H774" s="39">
        <f t="shared" si="85"/>
        <v>0</v>
      </c>
    </row>
    <row r="775" ht="15.0" customHeight="1">
      <c r="A775" s="35" t="s">
        <v>954</v>
      </c>
      <c r="B775" s="36" t="s">
        <v>697</v>
      </c>
      <c r="C775" s="37">
        <v>6.0</v>
      </c>
      <c r="D775" s="30">
        <v>3.221249350009E12</v>
      </c>
      <c r="E775" s="38">
        <v>5.2</v>
      </c>
      <c r="F775" s="32">
        <v>31.2</v>
      </c>
      <c r="G775" s="33"/>
      <c r="H775" s="39">
        <f t="shared" si="85"/>
        <v>0</v>
      </c>
    </row>
    <row r="776" ht="15.0" customHeight="1">
      <c r="A776" s="35" t="s">
        <v>955</v>
      </c>
      <c r="B776" s="36" t="s">
        <v>697</v>
      </c>
      <c r="C776" s="37">
        <v>6.0</v>
      </c>
      <c r="D776" s="30">
        <v>3.22124965E12</v>
      </c>
      <c r="E776" s="38">
        <v>6.05</v>
      </c>
      <c r="F776" s="32">
        <v>36.3</v>
      </c>
      <c r="G776" s="33"/>
      <c r="H776" s="39">
        <f t="shared" si="85"/>
        <v>0</v>
      </c>
    </row>
    <row r="777" ht="15.0" customHeight="1">
      <c r="A777" s="35" t="s">
        <v>956</v>
      </c>
      <c r="B777" s="36" t="s">
        <v>697</v>
      </c>
      <c r="C777" s="37">
        <v>6.0</v>
      </c>
      <c r="D777" s="30">
        <v>3.221242859998E12</v>
      </c>
      <c r="E777" s="38">
        <v>5.65</v>
      </c>
      <c r="F777" s="32">
        <v>33.9</v>
      </c>
      <c r="G777" s="33"/>
      <c r="H777" s="39">
        <f t="shared" si="85"/>
        <v>0</v>
      </c>
    </row>
    <row r="778" ht="15.0" customHeight="1">
      <c r="A778" s="35" t="s">
        <v>957</v>
      </c>
      <c r="B778" s="36" t="s">
        <v>697</v>
      </c>
      <c r="C778" s="37">
        <v>6.0</v>
      </c>
      <c r="D778" s="30">
        <v>3.221240058881E12</v>
      </c>
      <c r="E778" s="38">
        <v>7.05</v>
      </c>
      <c r="F778" s="32">
        <v>42.3</v>
      </c>
      <c r="G778" s="33"/>
      <c r="H778" s="39">
        <f t="shared" si="85"/>
        <v>0</v>
      </c>
    </row>
    <row r="779" ht="15.0" customHeight="1">
      <c r="A779" s="27"/>
      <c r="B779" s="123"/>
      <c r="C779" s="124"/>
      <c r="D779" s="30"/>
      <c r="E779" s="31"/>
      <c r="F779" s="32"/>
      <c r="G779" s="33"/>
      <c r="H779" s="39"/>
    </row>
    <row r="780" ht="15.0" customHeight="1">
      <c r="A780" s="27" t="s">
        <v>958</v>
      </c>
      <c r="B780" s="123"/>
      <c r="C780" s="124"/>
      <c r="D780" s="30"/>
      <c r="E780" s="31"/>
      <c r="F780" s="32"/>
      <c r="G780" s="33"/>
      <c r="H780" s="39"/>
    </row>
    <row r="781" ht="15.0" customHeight="1">
      <c r="A781" s="35" t="s">
        <v>959</v>
      </c>
      <c r="B781" s="36" t="s">
        <v>960</v>
      </c>
      <c r="C781" s="37">
        <v>4.0</v>
      </c>
      <c r="D781" s="30">
        <v>3.211209207948E12</v>
      </c>
      <c r="E781" s="38">
        <v>9.5</v>
      </c>
      <c r="F781" s="32">
        <v>38.0</v>
      </c>
      <c r="G781" s="33"/>
      <c r="H781" s="39">
        <f t="shared" ref="H781:H788" si="86">G781*F781</f>
        <v>0</v>
      </c>
    </row>
    <row r="782" ht="15.0" customHeight="1">
      <c r="A782" s="35" t="s">
        <v>961</v>
      </c>
      <c r="B782" s="36" t="s">
        <v>960</v>
      </c>
      <c r="C782" s="37">
        <v>4.0</v>
      </c>
      <c r="D782" s="30">
        <v>3.211209220541E12</v>
      </c>
      <c r="E782" s="38">
        <v>9.5</v>
      </c>
      <c r="F782" s="32">
        <v>38.0</v>
      </c>
      <c r="G782" s="33"/>
      <c r="H782" s="39">
        <f t="shared" si="86"/>
        <v>0</v>
      </c>
    </row>
    <row r="783" ht="15.0" customHeight="1">
      <c r="A783" s="35" t="s">
        <v>962</v>
      </c>
      <c r="B783" s="36" t="s">
        <v>771</v>
      </c>
      <c r="C783" s="37">
        <v>3.0</v>
      </c>
      <c r="D783" s="30">
        <v>3.11272203441E12</v>
      </c>
      <c r="E783" s="38">
        <v>11.5</v>
      </c>
      <c r="F783" s="32">
        <v>34.5</v>
      </c>
      <c r="G783" s="33"/>
      <c r="H783" s="39">
        <f t="shared" si="86"/>
        <v>0</v>
      </c>
    </row>
    <row r="784" ht="15.0" customHeight="1">
      <c r="A784" s="35" t="s">
        <v>963</v>
      </c>
      <c r="B784" s="36" t="s">
        <v>771</v>
      </c>
      <c r="C784" s="37">
        <v>3.0</v>
      </c>
      <c r="D784" s="30">
        <v>3.112722034403E12</v>
      </c>
      <c r="E784" s="38">
        <v>11.5</v>
      </c>
      <c r="F784" s="32">
        <v>34.5</v>
      </c>
      <c r="G784" s="33"/>
      <c r="H784" s="39">
        <f t="shared" si="86"/>
        <v>0</v>
      </c>
    </row>
    <row r="785" ht="15.0" customHeight="1">
      <c r="A785" s="35" t="s">
        <v>964</v>
      </c>
      <c r="B785" s="36" t="s">
        <v>771</v>
      </c>
      <c r="C785" s="37">
        <v>3.0</v>
      </c>
      <c r="D785" s="30">
        <v>3.112722034397E12</v>
      </c>
      <c r="E785" s="38">
        <v>11.5</v>
      </c>
      <c r="F785" s="32">
        <v>34.5</v>
      </c>
      <c r="G785" s="33"/>
      <c r="H785" s="39">
        <f t="shared" si="86"/>
        <v>0</v>
      </c>
    </row>
    <row r="786" ht="15.0" customHeight="1">
      <c r="A786" s="35" t="s">
        <v>965</v>
      </c>
      <c r="B786" s="36" t="s">
        <v>960</v>
      </c>
      <c r="C786" s="37">
        <v>4.0</v>
      </c>
      <c r="D786" s="30">
        <v>3.211200103416E12</v>
      </c>
      <c r="E786" s="38">
        <v>11.5</v>
      </c>
      <c r="F786" s="32">
        <v>46.0</v>
      </c>
      <c r="G786" s="33"/>
      <c r="H786" s="39">
        <f t="shared" si="86"/>
        <v>0</v>
      </c>
    </row>
    <row r="787" ht="15.0" customHeight="1">
      <c r="A787" s="35" t="s">
        <v>966</v>
      </c>
      <c r="B787" s="36" t="s">
        <v>960</v>
      </c>
      <c r="C787" s="37">
        <v>4.0</v>
      </c>
      <c r="D787" s="30">
        <v>3.211200103461E12</v>
      </c>
      <c r="E787" s="38">
        <v>11.5</v>
      </c>
      <c r="F787" s="32">
        <v>46.0</v>
      </c>
      <c r="G787" s="33"/>
      <c r="H787" s="39">
        <f t="shared" si="86"/>
        <v>0</v>
      </c>
    </row>
    <row r="788" ht="15.0" customHeight="1">
      <c r="A788" s="35" t="s">
        <v>967</v>
      </c>
      <c r="B788" s="36" t="s">
        <v>960</v>
      </c>
      <c r="C788" s="37">
        <v>4.0</v>
      </c>
      <c r="D788" s="30">
        <v>3.211200103515E12</v>
      </c>
      <c r="E788" s="38">
        <v>11.5</v>
      </c>
      <c r="F788" s="32">
        <v>46.0</v>
      </c>
      <c r="G788" s="33"/>
      <c r="H788" s="39">
        <f t="shared" si="86"/>
        <v>0</v>
      </c>
    </row>
    <row r="789" ht="15.0" customHeight="1">
      <c r="A789" s="120"/>
      <c r="B789" s="28"/>
      <c r="C789" s="29"/>
      <c r="D789" s="30"/>
      <c r="E789" s="31"/>
      <c r="F789" s="32"/>
      <c r="G789" s="33"/>
      <c r="H789" s="39"/>
    </row>
    <row r="790" ht="15.0" customHeight="1">
      <c r="A790" s="27" t="s">
        <v>968</v>
      </c>
      <c r="B790" s="28"/>
      <c r="C790" s="29"/>
      <c r="D790" s="30"/>
      <c r="E790" s="31"/>
      <c r="F790" s="32"/>
      <c r="G790" s="33"/>
      <c r="H790" s="39"/>
    </row>
    <row r="791" ht="15.0" customHeight="1">
      <c r="A791" s="35" t="s">
        <v>969</v>
      </c>
      <c r="B791" s="36" t="s">
        <v>697</v>
      </c>
      <c r="C791" s="37">
        <v>6.0</v>
      </c>
      <c r="D791" s="30">
        <v>8.002550504474E12</v>
      </c>
      <c r="E791" s="38">
        <v>2.49</v>
      </c>
      <c r="F791" s="32">
        <v>14.94</v>
      </c>
      <c r="G791" s="33"/>
      <c r="H791" s="39">
        <f t="shared" ref="H791:H793" si="87">G791*F791</f>
        <v>0</v>
      </c>
    </row>
    <row r="792" ht="15.0" customHeight="1">
      <c r="A792" s="35" t="s">
        <v>970</v>
      </c>
      <c r="B792" s="36" t="s">
        <v>697</v>
      </c>
      <c r="C792" s="37">
        <v>6.0</v>
      </c>
      <c r="D792" s="30">
        <v>8.002550504481E12</v>
      </c>
      <c r="E792" s="38">
        <v>2.49</v>
      </c>
      <c r="F792" s="32">
        <v>14.94</v>
      </c>
      <c r="G792" s="33"/>
      <c r="H792" s="39">
        <f t="shared" si="87"/>
        <v>0</v>
      </c>
    </row>
    <row r="793" ht="15.0" customHeight="1">
      <c r="A793" s="35" t="s">
        <v>971</v>
      </c>
      <c r="B793" s="36" t="s">
        <v>697</v>
      </c>
      <c r="C793" s="37">
        <v>6.0</v>
      </c>
      <c r="D793" s="30">
        <v>8.002550504498E12</v>
      </c>
      <c r="E793" s="38">
        <v>2.49</v>
      </c>
      <c r="F793" s="32">
        <v>14.94</v>
      </c>
      <c r="G793" s="33"/>
      <c r="H793" s="39">
        <f t="shared" si="87"/>
        <v>0</v>
      </c>
    </row>
    <row r="794" ht="15.0" customHeight="1">
      <c r="A794" s="35"/>
      <c r="B794" s="28"/>
      <c r="C794" s="29"/>
      <c r="D794" s="30"/>
      <c r="E794" s="31"/>
      <c r="F794" s="32"/>
      <c r="G794" s="33"/>
      <c r="H794" s="39"/>
    </row>
    <row r="795" ht="15.0" customHeight="1">
      <c r="A795" s="35" t="s">
        <v>972</v>
      </c>
      <c r="B795" s="36" t="s">
        <v>15</v>
      </c>
      <c r="C795" s="37">
        <v>6.0</v>
      </c>
      <c r="D795" s="30">
        <v>8.002230350285E12</v>
      </c>
      <c r="E795" s="38">
        <v>12.55</v>
      </c>
      <c r="F795" s="32">
        <v>75.3</v>
      </c>
      <c r="G795" s="33"/>
      <c r="H795" s="39">
        <f t="shared" ref="H795:H798" si="88">G795*F795</f>
        <v>0</v>
      </c>
    </row>
    <row r="796" ht="15.0" customHeight="1">
      <c r="A796" s="35" t="s">
        <v>973</v>
      </c>
      <c r="B796" s="36" t="s">
        <v>15</v>
      </c>
      <c r="C796" s="37">
        <v>6.0</v>
      </c>
      <c r="D796" s="30">
        <v>5.010103931519E12</v>
      </c>
      <c r="E796" s="38">
        <v>9.0</v>
      </c>
      <c r="F796" s="32">
        <v>54.0</v>
      </c>
      <c r="G796" s="33"/>
      <c r="H796" s="39">
        <f t="shared" si="88"/>
        <v>0</v>
      </c>
    </row>
    <row r="797" ht="15.0" customHeight="1">
      <c r="A797" s="35" t="s">
        <v>974</v>
      </c>
      <c r="B797" s="36" t="s">
        <v>15</v>
      </c>
      <c r="C797" s="37">
        <v>6.0</v>
      </c>
      <c r="D797" s="30">
        <v>3.163937010003E12</v>
      </c>
      <c r="E797" s="38">
        <v>16.95</v>
      </c>
      <c r="F797" s="32">
        <v>101.7</v>
      </c>
      <c r="G797" s="33"/>
      <c r="H797" s="39">
        <f t="shared" si="88"/>
        <v>0</v>
      </c>
    </row>
    <row r="798" ht="15.0" customHeight="1">
      <c r="A798" s="35" t="s">
        <v>975</v>
      </c>
      <c r="B798" s="36" t="s">
        <v>15</v>
      </c>
      <c r="C798" s="37">
        <v>6.0</v>
      </c>
      <c r="D798" s="30">
        <v>8.000040000802E12</v>
      </c>
      <c r="E798" s="38">
        <v>18.0</v>
      </c>
      <c r="F798" s="32">
        <v>108.0</v>
      </c>
      <c r="G798" s="33"/>
      <c r="H798" s="39">
        <f t="shared" si="88"/>
        <v>0</v>
      </c>
    </row>
    <row r="799" ht="15.0" customHeight="1">
      <c r="A799" s="35"/>
      <c r="B799" s="28"/>
      <c r="C799" s="29"/>
      <c r="D799" s="30"/>
      <c r="E799" s="31"/>
      <c r="F799" s="32"/>
      <c r="G799" s="33"/>
      <c r="H799" s="39"/>
    </row>
    <row r="800" ht="15.0" customHeight="1">
      <c r="A800" s="35" t="s">
        <v>976</v>
      </c>
      <c r="B800" s="36" t="s">
        <v>15</v>
      </c>
      <c r="C800" s="37">
        <v>6.0</v>
      </c>
      <c r="D800" s="30">
        <v>3.011932000829E12</v>
      </c>
      <c r="E800" s="38">
        <v>7.15</v>
      </c>
      <c r="F800" s="32">
        <v>42.9</v>
      </c>
      <c r="G800" s="33"/>
      <c r="H800" s="39">
        <f t="shared" ref="H800:H802" si="89">G800*F800</f>
        <v>0</v>
      </c>
    </row>
    <row r="801" ht="15.0" customHeight="1">
      <c r="A801" s="35" t="s">
        <v>977</v>
      </c>
      <c r="B801" s="36" t="s">
        <v>15</v>
      </c>
      <c r="C801" s="37">
        <v>6.0</v>
      </c>
      <c r="D801" s="30">
        <v>3.011932000843E12</v>
      </c>
      <c r="E801" s="38">
        <v>7.15</v>
      </c>
      <c r="F801" s="32">
        <v>42.9</v>
      </c>
      <c r="G801" s="33"/>
      <c r="H801" s="39">
        <f t="shared" si="89"/>
        <v>0</v>
      </c>
    </row>
    <row r="802" ht="15.0" customHeight="1">
      <c r="A802" s="35" t="s">
        <v>978</v>
      </c>
      <c r="B802" s="36" t="s">
        <v>15</v>
      </c>
      <c r="C802" s="37">
        <v>6.0</v>
      </c>
      <c r="D802" s="30">
        <v>3.011932000805E12</v>
      </c>
      <c r="E802" s="38">
        <v>7.15</v>
      </c>
      <c r="F802" s="32">
        <v>42.9</v>
      </c>
      <c r="G802" s="33"/>
      <c r="H802" s="39">
        <f t="shared" si="89"/>
        <v>0</v>
      </c>
    </row>
    <row r="803" ht="15.0" customHeight="1">
      <c r="A803" s="120"/>
      <c r="B803" s="28"/>
      <c r="C803" s="29"/>
      <c r="D803" s="30"/>
      <c r="E803" s="31"/>
      <c r="F803" s="32"/>
      <c r="G803" s="33"/>
      <c r="H803" s="39"/>
    </row>
    <row r="804" ht="15.0" customHeight="1">
      <c r="A804" s="35" t="s">
        <v>979</v>
      </c>
      <c r="B804" s="36" t="s">
        <v>697</v>
      </c>
      <c r="C804" s="37">
        <v>6.0</v>
      </c>
      <c r="D804" s="30">
        <v>3.013010004019E12</v>
      </c>
      <c r="E804" s="38">
        <v>4.09</v>
      </c>
      <c r="F804" s="32">
        <v>24.54</v>
      </c>
      <c r="G804" s="33"/>
      <c r="H804" s="39">
        <f t="shared" ref="H804:H810" si="90">G804*F804</f>
        <v>0</v>
      </c>
    </row>
    <row r="805" ht="15.0" customHeight="1">
      <c r="A805" s="35" t="s">
        <v>980</v>
      </c>
      <c r="B805" s="36" t="s">
        <v>697</v>
      </c>
      <c r="C805" s="37">
        <v>6.0</v>
      </c>
      <c r="D805" s="30">
        <v>4.333465988504E12</v>
      </c>
      <c r="E805" s="38">
        <v>4.69</v>
      </c>
      <c r="F805" s="32">
        <v>28.14</v>
      </c>
      <c r="G805" s="33"/>
      <c r="H805" s="39">
        <f t="shared" si="90"/>
        <v>0</v>
      </c>
    </row>
    <row r="806" ht="15.0" customHeight="1">
      <c r="A806" s="35" t="s">
        <v>981</v>
      </c>
      <c r="B806" s="36" t="s">
        <v>697</v>
      </c>
      <c r="C806" s="37">
        <v>6.0</v>
      </c>
      <c r="D806" s="30">
        <v>3.359950180469E12</v>
      </c>
      <c r="E806" s="38">
        <v>32.5</v>
      </c>
      <c r="F806" s="32">
        <v>195.0</v>
      </c>
      <c r="G806" s="33"/>
      <c r="H806" s="39">
        <f t="shared" si="90"/>
        <v>0</v>
      </c>
    </row>
    <row r="807" ht="15.0" customHeight="1">
      <c r="A807" s="35" t="s">
        <v>982</v>
      </c>
      <c r="B807" s="36" t="s">
        <v>697</v>
      </c>
      <c r="C807" s="37">
        <v>6.0</v>
      </c>
      <c r="D807" s="30">
        <v>3.043700103715E12</v>
      </c>
      <c r="E807" s="38">
        <v>25.9</v>
      </c>
      <c r="F807" s="32">
        <v>155.4</v>
      </c>
      <c r="G807" s="33"/>
      <c r="H807" s="39">
        <f t="shared" si="90"/>
        <v>0</v>
      </c>
    </row>
    <row r="808" ht="15.0" customHeight="1">
      <c r="A808" s="35" t="s">
        <v>983</v>
      </c>
      <c r="B808" s="36" t="s">
        <v>697</v>
      </c>
      <c r="C808" s="37">
        <v>6.0</v>
      </c>
      <c r="D808" s="30">
        <v>3.18537072996E12</v>
      </c>
      <c r="E808" s="38">
        <v>35.5</v>
      </c>
      <c r="F808" s="32">
        <v>213.0</v>
      </c>
      <c r="G808" s="33"/>
      <c r="H808" s="39">
        <f t="shared" si="90"/>
        <v>0</v>
      </c>
    </row>
    <row r="809" ht="15.0" customHeight="1">
      <c r="A809" s="35" t="s">
        <v>984</v>
      </c>
      <c r="B809" s="36" t="s">
        <v>697</v>
      </c>
      <c r="C809" s="37">
        <v>6.0</v>
      </c>
      <c r="D809" s="30">
        <v>3.185370074831E12</v>
      </c>
      <c r="E809" s="38">
        <v>43.5</v>
      </c>
      <c r="F809" s="32">
        <v>261.0</v>
      </c>
      <c r="G809" s="33"/>
      <c r="H809" s="39">
        <f t="shared" si="90"/>
        <v>0</v>
      </c>
    </row>
    <row r="810" ht="15.0" customHeight="1">
      <c r="A810" s="35" t="s">
        <v>985</v>
      </c>
      <c r="B810" s="36" t="s">
        <v>697</v>
      </c>
      <c r="C810" s="37">
        <v>6.0</v>
      </c>
      <c r="D810" s="30">
        <v>3.185370457054E12</v>
      </c>
      <c r="E810" s="38">
        <v>43.5</v>
      </c>
      <c r="F810" s="32">
        <v>261.0</v>
      </c>
      <c r="G810" s="33"/>
      <c r="H810" s="39">
        <f t="shared" si="90"/>
        <v>0</v>
      </c>
    </row>
    <row r="811" ht="15.0" customHeight="1">
      <c r="A811" s="19" t="s">
        <v>986</v>
      </c>
      <c r="B811" s="20"/>
      <c r="C811" s="21"/>
      <c r="D811" s="22"/>
      <c r="E811" s="23"/>
      <c r="F811" s="24"/>
      <c r="G811" s="25"/>
      <c r="H811" s="68"/>
    </row>
    <row r="812" ht="15.0" customHeight="1">
      <c r="A812" s="35" t="s">
        <v>987</v>
      </c>
      <c r="B812" s="36" t="s">
        <v>175</v>
      </c>
      <c r="C812" s="37">
        <v>8.0</v>
      </c>
      <c r="D812" s="30">
        <v>3.147690070405E12</v>
      </c>
      <c r="E812" s="55">
        <v>3.55</v>
      </c>
      <c r="F812" s="59">
        <v>28.4</v>
      </c>
      <c r="G812" s="33"/>
      <c r="H812" s="39">
        <f t="shared" ref="H812:H846" si="91">G812*F812</f>
        <v>0</v>
      </c>
    </row>
    <row r="813" ht="15.0" customHeight="1">
      <c r="A813" s="35" t="s">
        <v>988</v>
      </c>
      <c r="B813" s="36" t="s">
        <v>175</v>
      </c>
      <c r="C813" s="37">
        <v>8.0</v>
      </c>
      <c r="D813" s="89">
        <v>3.1078720057E12</v>
      </c>
      <c r="E813" s="38">
        <v>3.99</v>
      </c>
      <c r="F813" s="32">
        <f t="shared" ref="F813:F819" si="92">E813*C813</f>
        <v>31.92</v>
      </c>
      <c r="G813" s="33"/>
      <c r="H813" s="39">
        <f t="shared" si="91"/>
        <v>0</v>
      </c>
    </row>
    <row r="814" ht="15.0" customHeight="1">
      <c r="A814" s="35" t="s">
        <v>989</v>
      </c>
      <c r="B814" s="36" t="s">
        <v>175</v>
      </c>
      <c r="C814" s="37">
        <v>8.0</v>
      </c>
      <c r="D814" s="30">
        <v>3.147690073505E12</v>
      </c>
      <c r="E814" s="38">
        <v>3.99</v>
      </c>
      <c r="F814" s="32">
        <f t="shared" si="92"/>
        <v>31.92</v>
      </c>
      <c r="G814" s="33"/>
      <c r="H814" s="39">
        <f t="shared" si="91"/>
        <v>0</v>
      </c>
    </row>
    <row r="815" ht="15.0" customHeight="1">
      <c r="A815" s="35" t="s">
        <v>990</v>
      </c>
      <c r="B815" s="36" t="s">
        <v>175</v>
      </c>
      <c r="C815" s="37">
        <v>8.0</v>
      </c>
      <c r="D815" s="30">
        <v>3.163937636005E12</v>
      </c>
      <c r="E815" s="38">
        <v>4.25</v>
      </c>
      <c r="F815" s="32">
        <f t="shared" si="92"/>
        <v>34</v>
      </c>
      <c r="G815" s="33"/>
      <c r="H815" s="39">
        <f t="shared" si="91"/>
        <v>0</v>
      </c>
    </row>
    <row r="816" ht="15.0" customHeight="1">
      <c r="A816" s="35" t="s">
        <v>991</v>
      </c>
      <c r="B816" s="36" t="s">
        <v>175</v>
      </c>
      <c r="C816" s="37">
        <v>8.0</v>
      </c>
      <c r="D816" s="30">
        <v>5.099873090527E12</v>
      </c>
      <c r="E816" s="38">
        <v>6.85</v>
      </c>
      <c r="F816" s="32">
        <f t="shared" si="92"/>
        <v>54.8</v>
      </c>
      <c r="G816" s="33"/>
      <c r="H816" s="39">
        <f t="shared" si="91"/>
        <v>0</v>
      </c>
    </row>
    <row r="817" ht="15.0" customHeight="1">
      <c r="A817" s="49" t="s">
        <v>992</v>
      </c>
      <c r="B817" s="54" t="s">
        <v>175</v>
      </c>
      <c r="C817" s="56">
        <v>8.0</v>
      </c>
      <c r="D817" s="47" t="s">
        <v>993</v>
      </c>
      <c r="E817" s="55">
        <v>3.99</v>
      </c>
      <c r="F817" s="32">
        <f t="shared" si="92"/>
        <v>31.92</v>
      </c>
      <c r="G817" s="33"/>
      <c r="H817" s="39">
        <f t="shared" si="91"/>
        <v>0</v>
      </c>
    </row>
    <row r="818" ht="15.0" customHeight="1">
      <c r="A818" s="49" t="s">
        <v>994</v>
      </c>
      <c r="B818" s="54" t="s">
        <v>175</v>
      </c>
      <c r="C818" s="56">
        <v>8.0</v>
      </c>
      <c r="D818" s="47" t="s">
        <v>995</v>
      </c>
      <c r="E818" s="55">
        <v>3.99</v>
      </c>
      <c r="F818" s="32">
        <f t="shared" si="92"/>
        <v>31.92</v>
      </c>
      <c r="G818" s="33"/>
      <c r="H818" s="39">
        <f t="shared" si="91"/>
        <v>0</v>
      </c>
    </row>
    <row r="819" ht="15.0" customHeight="1">
      <c r="A819" s="35" t="s">
        <v>996</v>
      </c>
      <c r="B819" s="36" t="s">
        <v>199</v>
      </c>
      <c r="C819" s="37">
        <v>12.0</v>
      </c>
      <c r="D819" s="30">
        <v>7.312040017355E12</v>
      </c>
      <c r="E819" s="38">
        <v>9.75</v>
      </c>
      <c r="F819" s="32">
        <f t="shared" si="92"/>
        <v>117</v>
      </c>
      <c r="G819" s="33"/>
      <c r="H819" s="39">
        <f t="shared" si="91"/>
        <v>0</v>
      </c>
    </row>
    <row r="820" ht="15.0" customHeight="1">
      <c r="A820" s="35" t="s">
        <v>997</v>
      </c>
      <c r="B820" s="36" t="s">
        <v>199</v>
      </c>
      <c r="C820" s="37">
        <v>12.0</v>
      </c>
      <c r="D820" s="30">
        <v>5.099873089057E12</v>
      </c>
      <c r="E820" s="38">
        <v>12.25</v>
      </c>
      <c r="F820" s="32">
        <v>147.0</v>
      </c>
      <c r="G820" s="33"/>
      <c r="H820" s="39">
        <f t="shared" si="91"/>
        <v>0</v>
      </c>
    </row>
    <row r="821" ht="15.0" customHeight="1">
      <c r="A821" s="35" t="s">
        <v>998</v>
      </c>
      <c r="B821" s="36" t="s">
        <v>199</v>
      </c>
      <c r="C821" s="37">
        <v>12.0</v>
      </c>
      <c r="D821" s="30">
        <v>5.099873060704E12</v>
      </c>
      <c r="E821" s="38">
        <v>12.25</v>
      </c>
      <c r="F821" s="32">
        <v>147.0</v>
      </c>
      <c r="G821" s="33"/>
      <c r="H821" s="39">
        <f t="shared" si="91"/>
        <v>0</v>
      </c>
    </row>
    <row r="822" ht="15.0" customHeight="1">
      <c r="A822" s="35" t="s">
        <v>999</v>
      </c>
      <c r="B822" s="36" t="s">
        <v>199</v>
      </c>
      <c r="C822" s="37">
        <v>12.0</v>
      </c>
      <c r="D822" s="30">
        <v>5.099873017616E12</v>
      </c>
      <c r="E822" s="38">
        <v>12.25</v>
      </c>
      <c r="F822" s="32">
        <v>147.0</v>
      </c>
      <c r="G822" s="33"/>
      <c r="H822" s="39">
        <f t="shared" si="91"/>
        <v>0</v>
      </c>
    </row>
    <row r="823" ht="15.0" customHeight="1">
      <c r="A823" s="35" t="s">
        <v>1000</v>
      </c>
      <c r="B823" s="36" t="s">
        <v>1001</v>
      </c>
      <c r="C823" s="37">
        <v>6.0</v>
      </c>
      <c r="D823" s="30">
        <v>7.610113019214E12</v>
      </c>
      <c r="E823" s="38">
        <v>10.35</v>
      </c>
      <c r="F823" s="32">
        <v>62.1</v>
      </c>
      <c r="G823" s="33"/>
      <c r="H823" s="39">
        <f t="shared" si="91"/>
        <v>0</v>
      </c>
    </row>
    <row r="824" ht="15.0" customHeight="1">
      <c r="A824" s="35" t="s">
        <v>1002</v>
      </c>
      <c r="B824" s="36" t="s">
        <v>1001</v>
      </c>
      <c r="C824" s="37">
        <v>6.0</v>
      </c>
      <c r="D824" s="30">
        <v>5.014271796161E12</v>
      </c>
      <c r="E824" s="38">
        <v>26.5</v>
      </c>
      <c r="F824" s="32">
        <v>159.0</v>
      </c>
      <c r="G824" s="33"/>
      <c r="H824" s="39">
        <f t="shared" si="91"/>
        <v>0</v>
      </c>
    </row>
    <row r="825" ht="15.0" customHeight="1">
      <c r="A825" s="35" t="s">
        <v>1003</v>
      </c>
      <c r="B825" s="36" t="s">
        <v>1001</v>
      </c>
      <c r="C825" s="37">
        <v>6.0</v>
      </c>
      <c r="D825" s="30">
        <v>3.147690061007E12</v>
      </c>
      <c r="E825" s="38">
        <v>9.5</v>
      </c>
      <c r="F825" s="32">
        <v>57.0</v>
      </c>
      <c r="G825" s="33"/>
      <c r="H825" s="39">
        <f t="shared" si="91"/>
        <v>0</v>
      </c>
    </row>
    <row r="826" ht="15.0" customHeight="1">
      <c r="A826" s="44" t="s">
        <v>1004</v>
      </c>
      <c r="B826" s="36" t="s">
        <v>1001</v>
      </c>
      <c r="C826" s="37">
        <v>6.0</v>
      </c>
      <c r="D826" s="30">
        <v>3.147699125649E12</v>
      </c>
      <c r="E826" s="38">
        <v>9.45</v>
      </c>
      <c r="F826" s="32">
        <f>E826*C826</f>
        <v>56.7</v>
      </c>
      <c r="G826" s="33"/>
      <c r="H826" s="39">
        <f t="shared" si="91"/>
        <v>0</v>
      </c>
    </row>
    <row r="827" ht="15.0" customHeight="1">
      <c r="A827" s="35" t="s">
        <v>1005</v>
      </c>
      <c r="B827" s="36" t="s">
        <v>1001</v>
      </c>
      <c r="C827" s="37">
        <v>6.0</v>
      </c>
      <c r="D827" s="30">
        <v>7.312040017683E12</v>
      </c>
      <c r="E827" s="38">
        <v>13.95</v>
      </c>
      <c r="F827" s="32">
        <v>83.7</v>
      </c>
      <c r="G827" s="33"/>
      <c r="H827" s="39">
        <f t="shared" si="91"/>
        <v>0</v>
      </c>
    </row>
    <row r="828" ht="15.0" customHeight="1">
      <c r="A828" s="35" t="s">
        <v>1006</v>
      </c>
      <c r="B828" s="36" t="s">
        <v>1001</v>
      </c>
      <c r="C828" s="37">
        <v>6.0</v>
      </c>
      <c r="D828" s="30">
        <v>4.067700013859E12</v>
      </c>
      <c r="E828" s="38">
        <v>14.55</v>
      </c>
      <c r="F828" s="32">
        <v>87.3</v>
      </c>
      <c r="G828" s="33"/>
      <c r="H828" s="39">
        <f t="shared" si="91"/>
        <v>0</v>
      </c>
    </row>
    <row r="829" ht="15.0" customHeight="1">
      <c r="A829" s="35" t="s">
        <v>1007</v>
      </c>
      <c r="B829" s="36" t="s">
        <v>1001</v>
      </c>
      <c r="C829" s="37">
        <v>6.0</v>
      </c>
      <c r="D829" s="30">
        <v>5.000281031033E12</v>
      </c>
      <c r="E829" s="38">
        <v>11.95</v>
      </c>
      <c r="F829" s="32">
        <v>71.7</v>
      </c>
      <c r="G829" s="33"/>
      <c r="H829" s="39">
        <f t="shared" si="91"/>
        <v>0</v>
      </c>
    </row>
    <row r="830" ht="15.0" customHeight="1">
      <c r="A830" s="35" t="s">
        <v>1008</v>
      </c>
      <c r="B830" s="36" t="s">
        <v>1001</v>
      </c>
      <c r="C830" s="37">
        <v>6.0</v>
      </c>
      <c r="D830" s="30">
        <v>3.099873045864E12</v>
      </c>
      <c r="E830" s="38">
        <v>17.25</v>
      </c>
      <c r="F830" s="32">
        <v>103.5</v>
      </c>
      <c r="G830" s="33"/>
      <c r="H830" s="39">
        <f t="shared" si="91"/>
        <v>0</v>
      </c>
    </row>
    <row r="831" ht="15.0" customHeight="1">
      <c r="A831" s="35" t="s">
        <v>1009</v>
      </c>
      <c r="B831" s="36" t="s">
        <v>1001</v>
      </c>
      <c r="C831" s="37">
        <v>6.0</v>
      </c>
      <c r="D831" s="30">
        <v>5.099873017623E12</v>
      </c>
      <c r="E831" s="38">
        <v>18.0</v>
      </c>
      <c r="F831" s="32">
        <v>108.0</v>
      </c>
      <c r="G831" s="33"/>
      <c r="H831" s="39">
        <f t="shared" si="91"/>
        <v>0</v>
      </c>
    </row>
    <row r="832" ht="15.0" customHeight="1">
      <c r="A832" s="35" t="s">
        <v>1010</v>
      </c>
      <c r="B832" s="36" t="s">
        <v>1001</v>
      </c>
      <c r="C832" s="37">
        <v>6.0</v>
      </c>
      <c r="D832" s="30">
        <v>5.09987300137E12</v>
      </c>
      <c r="E832" s="38">
        <v>18.0</v>
      </c>
      <c r="F832" s="32">
        <v>108.0</v>
      </c>
      <c r="G832" s="33"/>
      <c r="H832" s="39">
        <f t="shared" si="91"/>
        <v>0</v>
      </c>
    </row>
    <row r="833" ht="15.0" customHeight="1">
      <c r="A833" s="43" t="s">
        <v>1011</v>
      </c>
      <c r="B833" s="36" t="s">
        <v>1001</v>
      </c>
      <c r="C833" s="37">
        <v>6.0</v>
      </c>
      <c r="D833" s="89" t="s">
        <v>1012</v>
      </c>
      <c r="E833" s="38">
        <v>18.75</v>
      </c>
      <c r="F833" s="32">
        <v>112.5</v>
      </c>
      <c r="G833" s="33"/>
      <c r="H833" s="39">
        <f t="shared" si="91"/>
        <v>0</v>
      </c>
    </row>
    <row r="834" ht="15.0" customHeight="1">
      <c r="A834" s="35" t="s">
        <v>1013</v>
      </c>
      <c r="B834" s="36" t="s">
        <v>1001</v>
      </c>
      <c r="C834" s="37">
        <v>6.0</v>
      </c>
      <c r="D834" s="30">
        <v>5.901041003003E12</v>
      </c>
      <c r="E834" s="38">
        <v>28.5</v>
      </c>
      <c r="F834" s="32">
        <v>171.0</v>
      </c>
      <c r="G834" s="33"/>
      <c r="H834" s="39">
        <f t="shared" si="91"/>
        <v>0</v>
      </c>
    </row>
    <row r="835" ht="15.0" customHeight="1">
      <c r="A835" s="35" t="s">
        <v>1014</v>
      </c>
      <c r="B835" s="36" t="s">
        <v>1001</v>
      </c>
      <c r="C835" s="37">
        <v>6.0</v>
      </c>
      <c r="D835" s="30">
        <v>4.80901515748E12</v>
      </c>
      <c r="E835" s="38">
        <v>27.5</v>
      </c>
      <c r="F835" s="32">
        <v>165.0</v>
      </c>
      <c r="G835" s="33"/>
      <c r="H835" s="39">
        <f t="shared" si="91"/>
        <v>0</v>
      </c>
    </row>
    <row r="836" ht="15.0" customHeight="1">
      <c r="A836" s="35" t="s">
        <v>1015</v>
      </c>
      <c r="B836" s="36" t="s">
        <v>1001</v>
      </c>
      <c r="C836" s="37">
        <v>6.0</v>
      </c>
      <c r="D836" s="30">
        <v>7.594003620059E12</v>
      </c>
      <c r="E836" s="38">
        <v>29.9</v>
      </c>
      <c r="F836" s="32">
        <v>179.4</v>
      </c>
      <c r="G836" s="33"/>
      <c r="H836" s="39">
        <f t="shared" si="91"/>
        <v>0</v>
      </c>
    </row>
    <row r="837" ht="15.0" customHeight="1">
      <c r="A837" s="35" t="s">
        <v>1016</v>
      </c>
      <c r="B837" s="36" t="s">
        <v>1001</v>
      </c>
      <c r="C837" s="37">
        <v>1.0</v>
      </c>
      <c r="D837" s="30">
        <v>5.010103916738E12</v>
      </c>
      <c r="E837" s="38">
        <v>26.5</v>
      </c>
      <c r="F837" s="32">
        <v>26.5</v>
      </c>
      <c r="G837" s="33"/>
      <c r="H837" s="39">
        <f t="shared" si="91"/>
        <v>0</v>
      </c>
    </row>
    <row r="838" ht="15.0" customHeight="1">
      <c r="A838" s="35" t="s">
        <v>1017</v>
      </c>
      <c r="B838" s="36" t="s">
        <v>1001</v>
      </c>
      <c r="C838" s="37">
        <v>1.0</v>
      </c>
      <c r="D838" s="30">
        <v>5.010103937146E12</v>
      </c>
      <c r="E838" s="38">
        <v>26.5</v>
      </c>
      <c r="F838" s="32">
        <v>26.5</v>
      </c>
      <c r="G838" s="33"/>
      <c r="H838" s="39">
        <f t="shared" si="91"/>
        <v>0</v>
      </c>
    </row>
    <row r="839" ht="15.0" customHeight="1">
      <c r="A839" s="35" t="s">
        <v>1018</v>
      </c>
      <c r="B839" s="36" t="s">
        <v>1001</v>
      </c>
      <c r="C839" s="37">
        <v>1.0</v>
      </c>
      <c r="D839" s="30">
        <v>5.010103995641E12</v>
      </c>
      <c r="E839" s="38">
        <v>26.5</v>
      </c>
      <c r="F839" s="32">
        <v>26.5</v>
      </c>
      <c r="G839" s="33"/>
      <c r="H839" s="39">
        <f t="shared" si="91"/>
        <v>0</v>
      </c>
    </row>
    <row r="840" ht="15.0" customHeight="1">
      <c r="A840" s="35" t="s">
        <v>1019</v>
      </c>
      <c r="B840" s="36" t="s">
        <v>1001</v>
      </c>
      <c r="C840" s="37">
        <v>1.0</v>
      </c>
      <c r="D840" s="30">
        <v>5.010103947718E12</v>
      </c>
      <c r="E840" s="38">
        <v>26.5</v>
      </c>
      <c r="F840" s="32">
        <v>26.5</v>
      </c>
      <c r="G840" s="33"/>
      <c r="H840" s="39">
        <f t="shared" si="91"/>
        <v>0</v>
      </c>
    </row>
    <row r="841" ht="15.0" customHeight="1">
      <c r="A841" s="35" t="s">
        <v>1020</v>
      </c>
      <c r="B841" s="36" t="s">
        <v>1001</v>
      </c>
      <c r="C841" s="37">
        <v>1.0</v>
      </c>
      <c r="D841" s="30">
        <v>5.010103939874E12</v>
      </c>
      <c r="E841" s="38">
        <v>26.5</v>
      </c>
      <c r="F841" s="32">
        <v>26.5</v>
      </c>
      <c r="G841" s="33"/>
      <c r="H841" s="39">
        <f t="shared" si="91"/>
        <v>0</v>
      </c>
    </row>
    <row r="842" ht="15.0" customHeight="1">
      <c r="A842" s="35" t="s">
        <v>1021</v>
      </c>
      <c r="B842" s="36" t="s">
        <v>1001</v>
      </c>
      <c r="C842" s="37">
        <v>1.0</v>
      </c>
      <c r="D842" s="30">
        <v>5.010103943574E12</v>
      </c>
      <c r="E842" s="38">
        <v>26.5</v>
      </c>
      <c r="F842" s="32">
        <v>26.5</v>
      </c>
      <c r="G842" s="33"/>
      <c r="H842" s="39">
        <f t="shared" si="91"/>
        <v>0</v>
      </c>
    </row>
    <row r="843" ht="15.0" customHeight="1">
      <c r="A843" s="35" t="s">
        <v>1022</v>
      </c>
      <c r="B843" s="36" t="s">
        <v>1001</v>
      </c>
      <c r="C843" s="37">
        <v>1.0</v>
      </c>
      <c r="D843" s="30">
        <v>5.010103934374E12</v>
      </c>
      <c r="E843" s="38">
        <v>26.5</v>
      </c>
      <c r="F843" s="32">
        <v>26.5</v>
      </c>
      <c r="G843" s="33"/>
      <c r="H843" s="39">
        <f t="shared" si="91"/>
        <v>0</v>
      </c>
    </row>
    <row r="844" ht="15.0" customHeight="1">
      <c r="A844" s="35" t="s">
        <v>1023</v>
      </c>
      <c r="B844" s="36" t="s">
        <v>1001</v>
      </c>
      <c r="C844" s="37">
        <v>1.0</v>
      </c>
      <c r="D844" s="30">
        <v>5.010103938235E12</v>
      </c>
      <c r="E844" s="38">
        <v>26.5</v>
      </c>
      <c r="F844" s="32">
        <v>26.5</v>
      </c>
      <c r="G844" s="33"/>
      <c r="H844" s="39">
        <f t="shared" si="91"/>
        <v>0</v>
      </c>
    </row>
    <row r="845" ht="15.0" customHeight="1">
      <c r="A845" s="35" t="s">
        <v>1024</v>
      </c>
      <c r="B845" s="36" t="s">
        <v>1001</v>
      </c>
      <c r="C845" s="37">
        <v>1.0</v>
      </c>
      <c r="D845" s="30">
        <v>5.010103999991E12</v>
      </c>
      <c r="E845" s="38">
        <v>26.5</v>
      </c>
      <c r="F845" s="32">
        <v>26.5</v>
      </c>
      <c r="G845" s="33"/>
      <c r="H845" s="39">
        <f t="shared" si="91"/>
        <v>0</v>
      </c>
    </row>
    <row r="846" ht="15.0" customHeight="1">
      <c r="A846" s="35" t="s">
        <v>1025</v>
      </c>
      <c r="B846" s="36" t="s">
        <v>1001</v>
      </c>
      <c r="C846" s="125">
        <v>1.0</v>
      </c>
      <c r="D846" s="30">
        <v>5.010103948258E12</v>
      </c>
      <c r="E846" s="38">
        <v>31.5</v>
      </c>
      <c r="F846" s="32">
        <v>31.5</v>
      </c>
      <c r="G846" s="33"/>
      <c r="H846" s="39">
        <f t="shared" si="91"/>
        <v>0</v>
      </c>
    </row>
    <row r="847" ht="15.0" customHeight="1">
      <c r="A847" s="126" t="s">
        <v>1026</v>
      </c>
      <c r="B847" s="127"/>
      <c r="C847" s="128"/>
      <c r="D847" s="129"/>
      <c r="E847" s="130"/>
      <c r="F847" s="131"/>
      <c r="G847" s="132"/>
      <c r="H847" s="133"/>
    </row>
    <row r="848" ht="15.0" customHeight="1">
      <c r="A848" s="27" t="s">
        <v>1027</v>
      </c>
      <c r="B848" s="28"/>
      <c r="C848" s="29"/>
      <c r="D848" s="30"/>
      <c r="E848" s="31"/>
      <c r="F848" s="32"/>
      <c r="G848" s="33"/>
      <c r="H848" s="39"/>
    </row>
    <row r="849" ht="15.0" customHeight="1">
      <c r="A849" s="35" t="s">
        <v>1028</v>
      </c>
      <c r="B849" s="36" t="s">
        <v>1029</v>
      </c>
      <c r="C849" s="37">
        <v>12.0</v>
      </c>
      <c r="D849" s="30">
        <v>5.410803520165E12</v>
      </c>
      <c r="E849" s="38">
        <v>2.2</v>
      </c>
      <c r="F849" s="32">
        <v>26.4</v>
      </c>
      <c r="G849" s="33"/>
      <c r="H849" s="39">
        <f t="shared" ref="H849:H868" si="93">G849*F849</f>
        <v>0</v>
      </c>
    </row>
    <row r="850" ht="15.0" customHeight="1">
      <c r="A850" s="35" t="s">
        <v>1030</v>
      </c>
      <c r="B850" s="36" t="s">
        <v>1029</v>
      </c>
      <c r="C850" s="37">
        <v>12.0</v>
      </c>
      <c r="D850" s="30">
        <v>5.410803520059E12</v>
      </c>
      <c r="E850" s="38">
        <v>2.2</v>
      </c>
      <c r="F850" s="32">
        <v>26.4</v>
      </c>
      <c r="G850" s="33"/>
      <c r="H850" s="39">
        <f t="shared" si="93"/>
        <v>0</v>
      </c>
    </row>
    <row r="851" ht="15.0" customHeight="1">
      <c r="A851" s="35" t="s">
        <v>1031</v>
      </c>
      <c r="B851" s="36" t="s">
        <v>1029</v>
      </c>
      <c r="C851" s="37">
        <v>12.0</v>
      </c>
      <c r="D851" s="30">
        <v>5.410803520097E12</v>
      </c>
      <c r="E851" s="38">
        <v>2.4</v>
      </c>
      <c r="F851" s="32">
        <v>28.8</v>
      </c>
      <c r="G851" s="33"/>
      <c r="H851" s="39">
        <f t="shared" si="93"/>
        <v>0</v>
      </c>
    </row>
    <row r="852" ht="15.0" customHeight="1">
      <c r="A852" s="35" t="s">
        <v>1032</v>
      </c>
      <c r="B852" s="36" t="s">
        <v>1029</v>
      </c>
      <c r="C852" s="37">
        <v>12.0</v>
      </c>
      <c r="D852" s="30">
        <v>5.41080352008E12</v>
      </c>
      <c r="E852" s="38">
        <v>2.4</v>
      </c>
      <c r="F852" s="32">
        <v>28.8</v>
      </c>
      <c r="G852" s="33"/>
      <c r="H852" s="39">
        <f t="shared" si="93"/>
        <v>0</v>
      </c>
    </row>
    <row r="853" ht="15.0" customHeight="1">
      <c r="A853" s="35" t="s">
        <v>1033</v>
      </c>
      <c r="B853" s="36" t="s">
        <v>1029</v>
      </c>
      <c r="C853" s="37">
        <v>12.0</v>
      </c>
      <c r="D853" s="30">
        <v>5.410803520011E12</v>
      </c>
      <c r="E853" s="38">
        <v>2.4</v>
      </c>
      <c r="F853" s="32">
        <v>28.8</v>
      </c>
      <c r="G853" s="33"/>
      <c r="H853" s="39">
        <f t="shared" si="93"/>
        <v>0</v>
      </c>
    </row>
    <row r="854" ht="15.0" customHeight="1">
      <c r="A854" s="35" t="s">
        <v>1034</v>
      </c>
      <c r="B854" s="36" t="s">
        <v>1029</v>
      </c>
      <c r="C854" s="37">
        <v>12.0</v>
      </c>
      <c r="D854" s="30">
        <v>5.410803520141E12</v>
      </c>
      <c r="E854" s="38">
        <v>2.4</v>
      </c>
      <c r="F854" s="32">
        <v>28.8</v>
      </c>
      <c r="G854" s="33"/>
      <c r="H854" s="39">
        <f t="shared" si="93"/>
        <v>0</v>
      </c>
    </row>
    <row r="855" ht="15.0" customHeight="1">
      <c r="A855" s="35" t="s">
        <v>1035</v>
      </c>
      <c r="B855" s="36" t="s">
        <v>1029</v>
      </c>
      <c r="C855" s="37">
        <v>12.0</v>
      </c>
      <c r="D855" s="30">
        <v>5.410803520073E12</v>
      </c>
      <c r="E855" s="38">
        <v>2.4</v>
      </c>
      <c r="F855" s="32">
        <v>28.8</v>
      </c>
      <c r="G855" s="33"/>
      <c r="H855" s="39">
        <f t="shared" si="93"/>
        <v>0</v>
      </c>
    </row>
    <row r="856" ht="15.0" customHeight="1">
      <c r="A856" s="35" t="s">
        <v>1036</v>
      </c>
      <c r="B856" s="36" t="s">
        <v>1029</v>
      </c>
      <c r="C856" s="37">
        <v>12.0</v>
      </c>
      <c r="D856" s="30">
        <v>5.410803520271E12</v>
      </c>
      <c r="E856" s="38">
        <v>2.4</v>
      </c>
      <c r="F856" s="32">
        <v>28.8</v>
      </c>
      <c r="G856" s="33"/>
      <c r="H856" s="39">
        <f t="shared" si="93"/>
        <v>0</v>
      </c>
    </row>
    <row r="857" ht="15.0" customHeight="1">
      <c r="A857" s="35" t="s">
        <v>1037</v>
      </c>
      <c r="B857" s="36" t="s">
        <v>1029</v>
      </c>
      <c r="C857" s="37">
        <v>12.0</v>
      </c>
      <c r="D857" s="30">
        <v>5.410803520189E12</v>
      </c>
      <c r="E857" s="38">
        <v>2.4</v>
      </c>
      <c r="F857" s="32">
        <v>28.8</v>
      </c>
      <c r="G857" s="33"/>
      <c r="H857" s="39">
        <f t="shared" si="93"/>
        <v>0</v>
      </c>
    </row>
    <row r="858" ht="15.0" customHeight="1">
      <c r="A858" s="35" t="s">
        <v>1038</v>
      </c>
      <c r="B858" s="36" t="s">
        <v>1029</v>
      </c>
      <c r="C858" s="37">
        <v>12.0</v>
      </c>
      <c r="D858" s="30">
        <v>5.410803520158E12</v>
      </c>
      <c r="E858" s="38">
        <v>2.4</v>
      </c>
      <c r="F858" s="32">
        <v>28.8</v>
      </c>
      <c r="G858" s="33"/>
      <c r="H858" s="39">
        <f t="shared" si="93"/>
        <v>0</v>
      </c>
    </row>
    <row r="859" ht="15.0" customHeight="1">
      <c r="A859" s="35" t="s">
        <v>1039</v>
      </c>
      <c r="B859" s="36" t="s">
        <v>1029</v>
      </c>
      <c r="C859" s="37">
        <v>12.0</v>
      </c>
      <c r="D859" s="30">
        <v>5.410803520066E12</v>
      </c>
      <c r="E859" s="38">
        <v>2.4</v>
      </c>
      <c r="F859" s="32">
        <v>28.8</v>
      </c>
      <c r="G859" s="33"/>
      <c r="H859" s="39">
        <f t="shared" si="93"/>
        <v>0</v>
      </c>
    </row>
    <row r="860" ht="15.0" customHeight="1">
      <c r="A860" s="35" t="s">
        <v>1040</v>
      </c>
      <c r="B860" s="36" t="s">
        <v>1029</v>
      </c>
      <c r="C860" s="37">
        <v>12.0</v>
      </c>
      <c r="D860" s="30">
        <v>5.41080352011E12</v>
      </c>
      <c r="E860" s="38">
        <v>2.4</v>
      </c>
      <c r="F860" s="32">
        <v>28.8</v>
      </c>
      <c r="G860" s="33"/>
      <c r="H860" s="39">
        <f t="shared" si="93"/>
        <v>0</v>
      </c>
    </row>
    <row r="861" ht="15.0" customHeight="1">
      <c r="A861" s="35" t="s">
        <v>1041</v>
      </c>
      <c r="B861" s="36" t="s">
        <v>1029</v>
      </c>
      <c r="C861" s="37">
        <v>12.0</v>
      </c>
      <c r="D861" s="30">
        <v>5.410803520042E12</v>
      </c>
      <c r="E861" s="38">
        <v>2.4</v>
      </c>
      <c r="F861" s="32">
        <v>28.8</v>
      </c>
      <c r="G861" s="33"/>
      <c r="H861" s="39">
        <f t="shared" si="93"/>
        <v>0</v>
      </c>
    </row>
    <row r="862" ht="15.0" customHeight="1">
      <c r="A862" s="35" t="s">
        <v>1042</v>
      </c>
      <c r="B862" s="36" t="s">
        <v>1029</v>
      </c>
      <c r="C862" s="37">
        <v>12.0</v>
      </c>
      <c r="D862" s="30">
        <v>5.410803520035E12</v>
      </c>
      <c r="E862" s="38">
        <v>2.4</v>
      </c>
      <c r="F862" s="32">
        <v>28.8</v>
      </c>
      <c r="G862" s="33"/>
      <c r="H862" s="39">
        <f t="shared" si="93"/>
        <v>0</v>
      </c>
    </row>
    <row r="863" ht="15.0" customHeight="1">
      <c r="A863" s="35" t="s">
        <v>1043</v>
      </c>
      <c r="B863" s="36" t="s">
        <v>1029</v>
      </c>
      <c r="C863" s="37">
        <v>12.0</v>
      </c>
      <c r="D863" s="30">
        <v>5.410803520172E12</v>
      </c>
      <c r="E863" s="38">
        <v>2.4</v>
      </c>
      <c r="F863" s="32">
        <v>28.8</v>
      </c>
      <c r="G863" s="33"/>
      <c r="H863" s="39">
        <f t="shared" si="93"/>
        <v>0</v>
      </c>
    </row>
    <row r="864" ht="15.0" customHeight="1">
      <c r="A864" s="35" t="s">
        <v>1044</v>
      </c>
      <c r="B864" s="36" t="s">
        <v>1029</v>
      </c>
      <c r="C864" s="37">
        <v>12.0</v>
      </c>
      <c r="D864" s="30">
        <v>5.410803520004E12</v>
      </c>
      <c r="E864" s="38">
        <v>2.4</v>
      </c>
      <c r="F864" s="32">
        <v>28.8</v>
      </c>
      <c r="G864" s="33"/>
      <c r="H864" s="39">
        <f t="shared" si="93"/>
        <v>0</v>
      </c>
    </row>
    <row r="865" ht="15.0" customHeight="1">
      <c r="A865" s="35" t="s">
        <v>1045</v>
      </c>
      <c r="B865" s="36" t="s">
        <v>1029</v>
      </c>
      <c r="C865" s="37">
        <v>12.0</v>
      </c>
      <c r="D865" s="30">
        <v>5.410803003415E12</v>
      </c>
      <c r="E865" s="38">
        <v>2.4</v>
      </c>
      <c r="F865" s="32">
        <v>28.8</v>
      </c>
      <c r="G865" s="33"/>
      <c r="H865" s="39">
        <f t="shared" si="93"/>
        <v>0</v>
      </c>
    </row>
    <row r="866" ht="15.0" customHeight="1">
      <c r="A866" s="35" t="s">
        <v>1046</v>
      </c>
      <c r="B866" s="36" t="s">
        <v>1029</v>
      </c>
      <c r="C866" s="37">
        <v>12.0</v>
      </c>
      <c r="D866" s="30">
        <v>5.41080300937E12</v>
      </c>
      <c r="E866" s="38">
        <v>2.4</v>
      </c>
      <c r="F866" s="32">
        <v>28.8</v>
      </c>
      <c r="G866" s="33"/>
      <c r="H866" s="39">
        <f t="shared" si="93"/>
        <v>0</v>
      </c>
    </row>
    <row r="867" ht="15.0" customHeight="1">
      <c r="A867" s="35" t="s">
        <v>1047</v>
      </c>
      <c r="B867" s="36" t="s">
        <v>1029</v>
      </c>
      <c r="C867" s="37">
        <v>12.0</v>
      </c>
      <c r="D867" s="30">
        <v>5.410803520257E12</v>
      </c>
      <c r="E867" s="38">
        <v>2.65</v>
      </c>
      <c r="F867" s="32">
        <v>31.8</v>
      </c>
      <c r="G867" s="33"/>
      <c r="H867" s="39">
        <f t="shared" si="93"/>
        <v>0</v>
      </c>
    </row>
    <row r="868" ht="15.0" customHeight="1">
      <c r="A868" s="35" t="s">
        <v>1048</v>
      </c>
      <c r="B868" s="36" t="s">
        <v>1029</v>
      </c>
      <c r="C868" s="37">
        <v>12.0</v>
      </c>
      <c r="D868" s="30">
        <v>5.410803520103E12</v>
      </c>
      <c r="E868" s="38">
        <v>2.65</v>
      </c>
      <c r="F868" s="32">
        <v>31.8</v>
      </c>
      <c r="G868" s="33"/>
      <c r="H868" s="39">
        <f t="shared" si="93"/>
        <v>0</v>
      </c>
    </row>
    <row r="869" ht="15.0" customHeight="1">
      <c r="A869" s="27" t="s">
        <v>1049</v>
      </c>
      <c r="B869" s="28"/>
      <c r="C869" s="29"/>
      <c r="D869" s="30"/>
      <c r="E869" s="31"/>
      <c r="F869" s="32"/>
      <c r="G869" s="33"/>
      <c r="H869" s="39"/>
    </row>
    <row r="870" ht="15.0" customHeight="1">
      <c r="A870" s="35" t="s">
        <v>1050</v>
      </c>
      <c r="B870" s="36" t="s">
        <v>1051</v>
      </c>
      <c r="C870" s="37">
        <v>12.0</v>
      </c>
      <c r="D870" s="30" t="s">
        <v>1052</v>
      </c>
      <c r="E870" s="38">
        <v>1.99</v>
      </c>
      <c r="F870" s="32">
        <v>23.88</v>
      </c>
      <c r="G870" s="33"/>
      <c r="H870" s="39">
        <f t="shared" ref="H870:H875" si="94">G870*F870</f>
        <v>0</v>
      </c>
    </row>
    <row r="871" ht="15.0" customHeight="1">
      <c r="A871" s="35" t="s">
        <v>1053</v>
      </c>
      <c r="B871" s="36" t="s">
        <v>1051</v>
      </c>
      <c r="C871" s="37">
        <v>12.0</v>
      </c>
      <c r="D871" s="30">
        <v>5.410803390058E12</v>
      </c>
      <c r="E871" s="38">
        <v>1.99</v>
      </c>
      <c r="F871" s="32">
        <v>23.88</v>
      </c>
      <c r="G871" s="33"/>
      <c r="H871" s="39">
        <f t="shared" si="94"/>
        <v>0</v>
      </c>
    </row>
    <row r="872" ht="15.0" customHeight="1">
      <c r="A872" s="35" t="s">
        <v>1054</v>
      </c>
      <c r="B872" s="36" t="s">
        <v>1051</v>
      </c>
      <c r="C872" s="37">
        <v>12.0</v>
      </c>
      <c r="D872" s="30">
        <v>5.410803390164E12</v>
      </c>
      <c r="E872" s="38">
        <v>1.99</v>
      </c>
      <c r="F872" s="32">
        <v>23.88</v>
      </c>
      <c r="G872" s="33"/>
      <c r="H872" s="39">
        <f t="shared" si="94"/>
        <v>0</v>
      </c>
    </row>
    <row r="873" ht="15.0" customHeight="1">
      <c r="A873" s="35" t="s">
        <v>1055</v>
      </c>
      <c r="B873" s="36" t="s">
        <v>1051</v>
      </c>
      <c r="C873" s="37">
        <v>12.0</v>
      </c>
      <c r="D873" s="30">
        <v>5.410803390027E12</v>
      </c>
      <c r="E873" s="38">
        <v>1.99</v>
      </c>
      <c r="F873" s="32">
        <f t="shared" ref="F873:F874" si="95">E873*C873</f>
        <v>23.88</v>
      </c>
      <c r="G873" s="33"/>
      <c r="H873" s="39">
        <f t="shared" si="94"/>
        <v>0</v>
      </c>
    </row>
    <row r="874" ht="15.0" customHeight="1">
      <c r="A874" s="35" t="s">
        <v>1056</v>
      </c>
      <c r="B874" s="36" t="s">
        <v>1051</v>
      </c>
      <c r="C874" s="37">
        <v>12.0</v>
      </c>
      <c r="D874" s="30">
        <v>5.410803390034E12</v>
      </c>
      <c r="E874" s="38">
        <v>1.99</v>
      </c>
      <c r="F874" s="32">
        <f t="shared" si="95"/>
        <v>23.88</v>
      </c>
      <c r="G874" s="33"/>
      <c r="H874" s="39">
        <f t="shared" si="94"/>
        <v>0</v>
      </c>
    </row>
    <row r="875" ht="15.0" customHeight="1">
      <c r="A875" s="35" t="s">
        <v>1057</v>
      </c>
      <c r="B875" s="36" t="s">
        <v>1051</v>
      </c>
      <c r="C875" s="37">
        <v>12.0</v>
      </c>
      <c r="D875" s="30">
        <v>5.410803390133E12</v>
      </c>
      <c r="E875" s="38">
        <v>1.99</v>
      </c>
      <c r="F875" s="32">
        <v>23.88</v>
      </c>
      <c r="G875" s="33"/>
      <c r="H875" s="39">
        <f t="shared" si="94"/>
        <v>0</v>
      </c>
    </row>
    <row r="876" ht="15.0" customHeight="1">
      <c r="A876" s="35" t="s">
        <v>1058</v>
      </c>
      <c r="B876" s="36" t="s">
        <v>1059</v>
      </c>
      <c r="C876" s="37">
        <v>1.0</v>
      </c>
      <c r="D876" s="30" t="s">
        <v>1059</v>
      </c>
      <c r="E876" s="31"/>
      <c r="F876" s="32"/>
      <c r="G876" s="33"/>
      <c r="H876" s="39"/>
    </row>
    <row r="877" ht="15.0" customHeight="1">
      <c r="A877" s="27" t="s">
        <v>1060</v>
      </c>
      <c r="B877" s="123"/>
      <c r="C877" s="124"/>
      <c r="D877" s="30"/>
      <c r="E877" s="31"/>
      <c r="F877" s="32"/>
      <c r="G877" s="33"/>
      <c r="H877" s="39"/>
    </row>
    <row r="878" ht="15.0" customHeight="1">
      <c r="A878" s="35" t="s">
        <v>1061</v>
      </c>
      <c r="B878" s="36" t="s">
        <v>1062</v>
      </c>
      <c r="C878" s="37">
        <v>10.0</v>
      </c>
      <c r="D878" s="30" t="s">
        <v>1063</v>
      </c>
      <c r="E878" s="38">
        <v>1.2</v>
      </c>
      <c r="F878" s="32">
        <v>12.0</v>
      </c>
      <c r="G878" s="33"/>
      <c r="H878" s="39">
        <f t="shared" ref="H878:H918" si="96">G878*F878</f>
        <v>0</v>
      </c>
    </row>
    <row r="879" ht="15.0" customHeight="1">
      <c r="A879" s="35" t="s">
        <v>1064</v>
      </c>
      <c r="B879" s="36" t="s">
        <v>1062</v>
      </c>
      <c r="C879" s="37">
        <v>10.0</v>
      </c>
      <c r="D879" s="30" t="s">
        <v>1065</v>
      </c>
      <c r="E879" s="38">
        <v>1.2</v>
      </c>
      <c r="F879" s="32">
        <v>12.0</v>
      </c>
      <c r="G879" s="33"/>
      <c r="H879" s="39">
        <f t="shared" si="96"/>
        <v>0</v>
      </c>
    </row>
    <row r="880" ht="15.0" customHeight="1">
      <c r="A880" s="35" t="s">
        <v>1066</v>
      </c>
      <c r="B880" s="36" t="s">
        <v>1062</v>
      </c>
      <c r="C880" s="37">
        <v>10.0</v>
      </c>
      <c r="D880" s="30" t="s">
        <v>1067</v>
      </c>
      <c r="E880" s="38">
        <v>1.2</v>
      </c>
      <c r="F880" s="32">
        <v>12.0</v>
      </c>
      <c r="G880" s="33"/>
      <c r="H880" s="39">
        <f t="shared" si="96"/>
        <v>0</v>
      </c>
    </row>
    <row r="881" ht="15.0" customHeight="1">
      <c r="A881" s="35" t="s">
        <v>1068</v>
      </c>
      <c r="B881" s="36" t="s">
        <v>1062</v>
      </c>
      <c r="C881" s="37">
        <v>10.0</v>
      </c>
      <c r="D881" s="30" t="s">
        <v>1069</v>
      </c>
      <c r="E881" s="38">
        <v>1.2</v>
      </c>
      <c r="F881" s="32">
        <v>12.0</v>
      </c>
      <c r="G881" s="33"/>
      <c r="H881" s="39">
        <f t="shared" si="96"/>
        <v>0</v>
      </c>
    </row>
    <row r="882" ht="15.0" customHeight="1">
      <c r="A882" s="35" t="s">
        <v>1070</v>
      </c>
      <c r="B882" s="36" t="s">
        <v>1062</v>
      </c>
      <c r="C882" s="37">
        <v>10.0</v>
      </c>
      <c r="D882" s="30">
        <v>3.497911102126E12</v>
      </c>
      <c r="E882" s="38">
        <v>1.35</v>
      </c>
      <c r="F882" s="32">
        <v>13.5</v>
      </c>
      <c r="G882" s="33"/>
      <c r="H882" s="39">
        <f t="shared" si="96"/>
        <v>0</v>
      </c>
    </row>
    <row r="883" ht="15.0" customHeight="1">
      <c r="A883" s="35" t="s">
        <v>1071</v>
      </c>
      <c r="B883" s="36" t="s">
        <v>1062</v>
      </c>
      <c r="C883" s="37">
        <v>10.0</v>
      </c>
      <c r="D883" s="30">
        <v>3.49791700099E12</v>
      </c>
      <c r="E883" s="38">
        <v>1.35</v>
      </c>
      <c r="F883" s="32">
        <v>13.5</v>
      </c>
      <c r="G883" s="33"/>
      <c r="H883" s="39">
        <f t="shared" si="96"/>
        <v>0</v>
      </c>
    </row>
    <row r="884" ht="15.0" customHeight="1">
      <c r="A884" s="35" t="s">
        <v>1072</v>
      </c>
      <c r="B884" s="36" t="s">
        <v>1062</v>
      </c>
      <c r="C884" s="37">
        <v>10.0</v>
      </c>
      <c r="D884" s="30">
        <v>3.497917000303E12</v>
      </c>
      <c r="E884" s="38">
        <v>1.35</v>
      </c>
      <c r="F884" s="32">
        <v>13.5</v>
      </c>
      <c r="G884" s="33"/>
      <c r="H884" s="39">
        <f t="shared" si="96"/>
        <v>0</v>
      </c>
    </row>
    <row r="885" ht="15.0" customHeight="1">
      <c r="A885" s="35" t="s">
        <v>1073</v>
      </c>
      <c r="B885" s="36" t="s">
        <v>1062</v>
      </c>
      <c r="C885" s="37">
        <v>10.0</v>
      </c>
      <c r="D885" s="30">
        <v>3.49791112335E12</v>
      </c>
      <c r="E885" s="38">
        <v>1.35</v>
      </c>
      <c r="F885" s="32">
        <v>13.5</v>
      </c>
      <c r="G885" s="33"/>
      <c r="H885" s="39">
        <f t="shared" si="96"/>
        <v>0</v>
      </c>
    </row>
    <row r="886" ht="15.0" customHeight="1">
      <c r="A886" s="35" t="s">
        <v>1074</v>
      </c>
      <c r="B886" s="36" t="s">
        <v>1062</v>
      </c>
      <c r="C886" s="37">
        <v>10.0</v>
      </c>
      <c r="D886" s="30" t="s">
        <v>1075</v>
      </c>
      <c r="E886" s="38">
        <v>1.35</v>
      </c>
      <c r="F886" s="32">
        <v>13.5</v>
      </c>
      <c r="G886" s="33"/>
      <c r="H886" s="39">
        <f t="shared" si="96"/>
        <v>0</v>
      </c>
    </row>
    <row r="887" ht="15.0" customHeight="1">
      <c r="A887" s="35" t="s">
        <v>1076</v>
      </c>
      <c r="B887" s="36" t="s">
        <v>1062</v>
      </c>
      <c r="C887" s="37">
        <v>10.0</v>
      </c>
      <c r="D887" s="30">
        <v>3.497911101129E12</v>
      </c>
      <c r="E887" s="38">
        <v>1.35</v>
      </c>
      <c r="F887" s="32">
        <v>13.5</v>
      </c>
      <c r="G887" s="33"/>
      <c r="H887" s="39">
        <f t="shared" si="96"/>
        <v>0</v>
      </c>
    </row>
    <row r="888" ht="15.0" customHeight="1">
      <c r="A888" s="35" t="s">
        <v>1077</v>
      </c>
      <c r="B888" s="36" t="s">
        <v>1062</v>
      </c>
      <c r="C888" s="37">
        <v>10.0</v>
      </c>
      <c r="D888" s="30">
        <v>3.497911105127E12</v>
      </c>
      <c r="E888" s="38">
        <v>1.35</v>
      </c>
      <c r="F888" s="32">
        <v>13.5</v>
      </c>
      <c r="G888" s="33"/>
      <c r="H888" s="39">
        <f t="shared" si="96"/>
        <v>0</v>
      </c>
    </row>
    <row r="889" ht="15.0" customHeight="1">
      <c r="A889" s="35" t="s">
        <v>1078</v>
      </c>
      <c r="B889" s="36" t="s">
        <v>1062</v>
      </c>
      <c r="C889" s="37">
        <v>10.0</v>
      </c>
      <c r="D889" s="30">
        <v>3.497917000914E12</v>
      </c>
      <c r="E889" s="38">
        <v>1.45</v>
      </c>
      <c r="F889" s="32">
        <v>14.5</v>
      </c>
      <c r="G889" s="33"/>
      <c r="H889" s="39">
        <f t="shared" si="96"/>
        <v>0</v>
      </c>
    </row>
    <row r="890" ht="15.0" customHeight="1">
      <c r="A890" s="35" t="s">
        <v>1079</v>
      </c>
      <c r="B890" s="36" t="s">
        <v>1062</v>
      </c>
      <c r="C890" s="37">
        <v>10.0</v>
      </c>
      <c r="D890" s="30">
        <v>3.497917002161E12</v>
      </c>
      <c r="E890" s="38">
        <v>1.45</v>
      </c>
      <c r="F890" s="32">
        <v>14.5</v>
      </c>
      <c r="G890" s="33"/>
      <c r="H890" s="39">
        <f t="shared" si="96"/>
        <v>0</v>
      </c>
    </row>
    <row r="891" ht="15.0" customHeight="1">
      <c r="A891" s="35" t="s">
        <v>1080</v>
      </c>
      <c r="B891" s="36" t="s">
        <v>1062</v>
      </c>
      <c r="C891" s="37">
        <v>10.0</v>
      </c>
      <c r="D891" s="30">
        <v>3.497917002789E12</v>
      </c>
      <c r="E891" s="38">
        <v>1.45</v>
      </c>
      <c r="F891" s="32">
        <v>14.5</v>
      </c>
      <c r="G891" s="33"/>
      <c r="H891" s="39">
        <f t="shared" si="96"/>
        <v>0</v>
      </c>
    </row>
    <row r="892" ht="15.0" customHeight="1">
      <c r="A892" s="35" t="s">
        <v>1081</v>
      </c>
      <c r="B892" s="36" t="s">
        <v>1062</v>
      </c>
      <c r="C892" s="37">
        <v>10.0</v>
      </c>
      <c r="D892" s="30">
        <v>3.497917001928E12</v>
      </c>
      <c r="E892" s="38">
        <v>1.45</v>
      </c>
      <c r="F892" s="32">
        <v>14.5</v>
      </c>
      <c r="G892" s="33"/>
      <c r="H892" s="39">
        <f t="shared" si="96"/>
        <v>0</v>
      </c>
    </row>
    <row r="893" ht="15.0" customHeight="1">
      <c r="A893" s="35" t="s">
        <v>1082</v>
      </c>
      <c r="B893" s="36" t="s">
        <v>1062</v>
      </c>
      <c r="C893" s="37">
        <v>10.0</v>
      </c>
      <c r="D893" s="30">
        <v>3.497917001911E12</v>
      </c>
      <c r="E893" s="38">
        <v>1.45</v>
      </c>
      <c r="F893" s="32">
        <v>14.5</v>
      </c>
      <c r="G893" s="33"/>
      <c r="H893" s="39">
        <f t="shared" si="96"/>
        <v>0</v>
      </c>
    </row>
    <row r="894" ht="15.0" customHeight="1">
      <c r="A894" s="35" t="s">
        <v>1083</v>
      </c>
      <c r="B894" s="36" t="s">
        <v>1062</v>
      </c>
      <c r="C894" s="37">
        <v>10.0</v>
      </c>
      <c r="D894" s="30">
        <v>3.497917000518E12</v>
      </c>
      <c r="E894" s="38">
        <v>1.45</v>
      </c>
      <c r="F894" s="32">
        <v>14.5</v>
      </c>
      <c r="G894" s="33"/>
      <c r="H894" s="39">
        <f t="shared" si="96"/>
        <v>0</v>
      </c>
    </row>
    <row r="895" ht="15.0" customHeight="1">
      <c r="A895" s="35" t="s">
        <v>1084</v>
      </c>
      <c r="B895" s="36" t="s">
        <v>1062</v>
      </c>
      <c r="C895" s="37">
        <v>10.0</v>
      </c>
      <c r="D895" s="30">
        <v>3.497917000907E12</v>
      </c>
      <c r="E895" s="38">
        <v>1.45</v>
      </c>
      <c r="F895" s="32">
        <v>14.5</v>
      </c>
      <c r="G895" s="33"/>
      <c r="H895" s="39">
        <f t="shared" si="96"/>
        <v>0</v>
      </c>
    </row>
    <row r="896" ht="15.0" customHeight="1">
      <c r="A896" s="35" t="s">
        <v>1085</v>
      </c>
      <c r="B896" s="36" t="s">
        <v>1062</v>
      </c>
      <c r="C896" s="37">
        <v>10.0</v>
      </c>
      <c r="D896" s="30">
        <v>3.497917001263E12</v>
      </c>
      <c r="E896" s="38">
        <v>1.45</v>
      </c>
      <c r="F896" s="32">
        <v>14.5</v>
      </c>
      <c r="G896" s="33"/>
      <c r="H896" s="39">
        <f t="shared" si="96"/>
        <v>0</v>
      </c>
    </row>
    <row r="897" ht="15.0" customHeight="1">
      <c r="A897" s="35" t="s">
        <v>1086</v>
      </c>
      <c r="B897" s="36" t="s">
        <v>1062</v>
      </c>
      <c r="C897" s="37">
        <v>10.0</v>
      </c>
      <c r="D897" s="30">
        <v>3.497917002741E12</v>
      </c>
      <c r="E897" s="38">
        <v>1.45</v>
      </c>
      <c r="F897" s="32">
        <v>14.5</v>
      </c>
      <c r="G897" s="33"/>
      <c r="H897" s="39">
        <f t="shared" si="96"/>
        <v>0</v>
      </c>
    </row>
    <row r="898" ht="15.0" customHeight="1">
      <c r="A898" s="35" t="s">
        <v>1087</v>
      </c>
      <c r="B898" s="36" t="s">
        <v>1062</v>
      </c>
      <c r="C898" s="37">
        <v>10.0</v>
      </c>
      <c r="D898" s="30">
        <v>3.497917002352E12</v>
      </c>
      <c r="E898" s="38">
        <v>1.45</v>
      </c>
      <c r="F898" s="32">
        <v>14.5</v>
      </c>
      <c r="G898" s="33"/>
      <c r="H898" s="39">
        <f t="shared" si="96"/>
        <v>0</v>
      </c>
    </row>
    <row r="899" ht="15.0" customHeight="1">
      <c r="A899" s="35" t="s">
        <v>1088</v>
      </c>
      <c r="B899" s="36" t="s">
        <v>1062</v>
      </c>
      <c r="C899" s="37">
        <v>10.0</v>
      </c>
      <c r="D899" s="30">
        <v>3.497917001621E12</v>
      </c>
      <c r="E899" s="38">
        <v>1.45</v>
      </c>
      <c r="F899" s="32">
        <v>14.5</v>
      </c>
      <c r="G899" s="33"/>
      <c r="H899" s="39">
        <f t="shared" si="96"/>
        <v>0</v>
      </c>
    </row>
    <row r="900" ht="15.0" customHeight="1">
      <c r="A900" s="35" t="s">
        <v>1089</v>
      </c>
      <c r="B900" s="36" t="s">
        <v>1062</v>
      </c>
      <c r="C900" s="37">
        <v>10.0</v>
      </c>
      <c r="D900" s="30">
        <v>3.497917000938E12</v>
      </c>
      <c r="E900" s="38">
        <v>1.5</v>
      </c>
      <c r="F900" s="32">
        <v>15.0</v>
      </c>
      <c r="G900" s="33"/>
      <c r="H900" s="39">
        <f t="shared" si="96"/>
        <v>0</v>
      </c>
    </row>
    <row r="901" ht="15.0" customHeight="1">
      <c r="A901" s="35" t="s">
        <v>1090</v>
      </c>
      <c r="B901" s="36" t="s">
        <v>1062</v>
      </c>
      <c r="C901" s="37">
        <v>10.0</v>
      </c>
      <c r="D901" s="30">
        <v>3.497917003151E12</v>
      </c>
      <c r="E901" s="38">
        <v>1.5</v>
      </c>
      <c r="F901" s="32">
        <v>15.0</v>
      </c>
      <c r="G901" s="33"/>
      <c r="H901" s="39">
        <f t="shared" si="96"/>
        <v>0</v>
      </c>
    </row>
    <row r="902" ht="15.0" customHeight="1">
      <c r="A902" s="35" t="s">
        <v>1091</v>
      </c>
      <c r="B902" s="36" t="s">
        <v>1062</v>
      </c>
      <c r="C902" s="37">
        <v>10.0</v>
      </c>
      <c r="D902" s="30">
        <v>3.497917003168E12</v>
      </c>
      <c r="E902" s="38">
        <v>1.5</v>
      </c>
      <c r="F902" s="32">
        <v>15.0</v>
      </c>
      <c r="G902" s="33"/>
      <c r="H902" s="39">
        <f t="shared" si="96"/>
        <v>0</v>
      </c>
    </row>
    <row r="903" ht="15.0" customHeight="1">
      <c r="A903" s="35" t="s">
        <v>1092</v>
      </c>
      <c r="B903" s="36" t="s">
        <v>1062</v>
      </c>
      <c r="C903" s="37">
        <v>10.0</v>
      </c>
      <c r="D903" s="30">
        <v>3.49791700338E12</v>
      </c>
      <c r="E903" s="38">
        <v>1.5</v>
      </c>
      <c r="F903" s="32">
        <v>15.0</v>
      </c>
      <c r="G903" s="33"/>
      <c r="H903" s="39">
        <f t="shared" si="96"/>
        <v>0</v>
      </c>
    </row>
    <row r="904" ht="15.0" customHeight="1">
      <c r="A904" s="35" t="s">
        <v>1093</v>
      </c>
      <c r="B904" s="36" t="s">
        <v>1062</v>
      </c>
      <c r="C904" s="37">
        <v>10.0</v>
      </c>
      <c r="D904" s="30">
        <v>3.49791700354E12</v>
      </c>
      <c r="E904" s="38">
        <v>1.5</v>
      </c>
      <c r="F904" s="32">
        <v>15.0</v>
      </c>
      <c r="G904" s="33"/>
      <c r="H904" s="39">
        <f t="shared" si="96"/>
        <v>0</v>
      </c>
    </row>
    <row r="905" ht="15.0" customHeight="1">
      <c r="A905" s="35" t="s">
        <v>1094</v>
      </c>
      <c r="B905" s="36" t="s">
        <v>1062</v>
      </c>
      <c r="C905" s="37">
        <v>10.0</v>
      </c>
      <c r="D905" s="30">
        <v>3.497917003564E12</v>
      </c>
      <c r="E905" s="38">
        <v>1.5</v>
      </c>
      <c r="F905" s="32">
        <v>15.0</v>
      </c>
      <c r="G905" s="33"/>
      <c r="H905" s="39">
        <f t="shared" si="96"/>
        <v>0</v>
      </c>
    </row>
    <row r="906" ht="15.0" customHeight="1">
      <c r="A906" s="35" t="s">
        <v>1095</v>
      </c>
      <c r="B906" s="36" t="s">
        <v>1062</v>
      </c>
      <c r="C906" s="37">
        <v>10.0</v>
      </c>
      <c r="D906" s="30">
        <v>3.497917003588E12</v>
      </c>
      <c r="E906" s="38">
        <v>1.5</v>
      </c>
      <c r="F906" s="32">
        <v>15.0</v>
      </c>
      <c r="G906" s="33"/>
      <c r="H906" s="39">
        <f t="shared" si="96"/>
        <v>0</v>
      </c>
    </row>
    <row r="907" ht="15.0" customHeight="1">
      <c r="A907" s="35" t="s">
        <v>1096</v>
      </c>
      <c r="B907" s="36" t="s">
        <v>1062</v>
      </c>
      <c r="C907" s="37">
        <v>10.0</v>
      </c>
      <c r="D907" s="30">
        <v>3.497917003823E12</v>
      </c>
      <c r="E907" s="38">
        <v>1.55</v>
      </c>
      <c r="F907" s="32">
        <v>15.5</v>
      </c>
      <c r="G907" s="33"/>
      <c r="H907" s="39">
        <f t="shared" si="96"/>
        <v>0</v>
      </c>
    </row>
    <row r="908" ht="15.0" customHeight="1">
      <c r="A908" s="35" t="s">
        <v>1097</v>
      </c>
      <c r="B908" s="36" t="s">
        <v>1062</v>
      </c>
      <c r="C908" s="37">
        <v>10.0</v>
      </c>
      <c r="D908" s="30">
        <v>3.497917003809E12</v>
      </c>
      <c r="E908" s="38">
        <v>1.55</v>
      </c>
      <c r="F908" s="32">
        <v>15.5</v>
      </c>
      <c r="G908" s="33"/>
      <c r="H908" s="39">
        <f t="shared" si="96"/>
        <v>0</v>
      </c>
    </row>
    <row r="909" ht="15.0" customHeight="1">
      <c r="A909" s="35" t="s">
        <v>1098</v>
      </c>
      <c r="B909" s="36" t="s">
        <v>1062</v>
      </c>
      <c r="C909" s="37">
        <v>10.0</v>
      </c>
      <c r="D909" s="30">
        <v>3.497917003656E12</v>
      </c>
      <c r="E909" s="38">
        <v>1.55</v>
      </c>
      <c r="F909" s="32">
        <v>15.5</v>
      </c>
      <c r="G909" s="33"/>
      <c r="H909" s="39">
        <f t="shared" si="96"/>
        <v>0</v>
      </c>
    </row>
    <row r="910" ht="15.0" customHeight="1">
      <c r="A910" s="35" t="s">
        <v>1099</v>
      </c>
      <c r="B910" s="36" t="s">
        <v>1062</v>
      </c>
      <c r="C910" s="37">
        <v>10.0</v>
      </c>
      <c r="D910" s="30">
        <v>3.497917003816E12</v>
      </c>
      <c r="E910" s="38">
        <v>1.55</v>
      </c>
      <c r="F910" s="32">
        <v>15.5</v>
      </c>
      <c r="G910" s="33"/>
      <c r="H910" s="39">
        <f t="shared" si="96"/>
        <v>0</v>
      </c>
    </row>
    <row r="911" ht="15.0" customHeight="1">
      <c r="A911" s="35" t="s">
        <v>1100</v>
      </c>
      <c r="B911" s="36" t="s">
        <v>1062</v>
      </c>
      <c r="C911" s="37">
        <v>10.0</v>
      </c>
      <c r="D911" s="30">
        <v>3.497917003854E12</v>
      </c>
      <c r="E911" s="38">
        <v>1.55</v>
      </c>
      <c r="F911" s="32">
        <v>15.5</v>
      </c>
      <c r="G911" s="33"/>
      <c r="H911" s="39">
        <f t="shared" si="96"/>
        <v>0</v>
      </c>
    </row>
    <row r="912" ht="15.0" customHeight="1">
      <c r="A912" s="35" t="s">
        <v>1101</v>
      </c>
      <c r="B912" s="36" t="s">
        <v>1062</v>
      </c>
      <c r="C912" s="37">
        <v>10.0</v>
      </c>
      <c r="D912" s="30">
        <v>3.49791700383E12</v>
      </c>
      <c r="E912" s="38">
        <v>1.55</v>
      </c>
      <c r="F912" s="32">
        <v>15.5</v>
      </c>
      <c r="G912" s="33"/>
      <c r="H912" s="39">
        <f t="shared" si="96"/>
        <v>0</v>
      </c>
    </row>
    <row r="913" ht="15.0" customHeight="1">
      <c r="A913" s="35" t="s">
        <v>1102</v>
      </c>
      <c r="B913" s="36" t="s">
        <v>1062</v>
      </c>
      <c r="C913" s="37">
        <v>10.0</v>
      </c>
      <c r="D913" s="30">
        <v>3.497917003847E12</v>
      </c>
      <c r="E913" s="38">
        <v>1.55</v>
      </c>
      <c r="F913" s="32">
        <v>15.5</v>
      </c>
      <c r="G913" s="33"/>
      <c r="H913" s="39">
        <f t="shared" si="96"/>
        <v>0</v>
      </c>
    </row>
    <row r="914" ht="15.0" customHeight="1">
      <c r="A914" s="35" t="s">
        <v>1103</v>
      </c>
      <c r="B914" s="36" t="s">
        <v>1104</v>
      </c>
      <c r="C914" s="37">
        <v>10.0</v>
      </c>
      <c r="D914" s="30">
        <v>3.497917003618E12</v>
      </c>
      <c r="E914" s="38">
        <v>1.85</v>
      </c>
      <c r="F914" s="32">
        <v>18.5</v>
      </c>
      <c r="G914" s="33"/>
      <c r="H914" s="39">
        <f t="shared" si="96"/>
        <v>0</v>
      </c>
    </row>
    <row r="915" ht="15.0" customHeight="1">
      <c r="A915" s="35" t="s">
        <v>1105</v>
      </c>
      <c r="B915" s="36" t="s">
        <v>1104</v>
      </c>
      <c r="C915" s="37">
        <v>10.0</v>
      </c>
      <c r="D915" s="30">
        <v>3.497917003694E12</v>
      </c>
      <c r="E915" s="38">
        <v>2.05</v>
      </c>
      <c r="F915" s="32">
        <v>20.5</v>
      </c>
      <c r="G915" s="33"/>
      <c r="H915" s="39">
        <f t="shared" si="96"/>
        <v>0</v>
      </c>
    </row>
    <row r="916" ht="15.0" customHeight="1">
      <c r="A916" s="35" t="s">
        <v>1106</v>
      </c>
      <c r="B916" s="36" t="s">
        <v>1107</v>
      </c>
      <c r="C916" s="37">
        <v>10.0</v>
      </c>
      <c r="D916" s="30">
        <v>3.497914000009E12</v>
      </c>
      <c r="E916" s="38">
        <v>1.8</v>
      </c>
      <c r="F916" s="32">
        <v>18.0</v>
      </c>
      <c r="G916" s="33"/>
      <c r="H916" s="39">
        <f t="shared" si="96"/>
        <v>0</v>
      </c>
    </row>
    <row r="917" ht="15.0" customHeight="1">
      <c r="A917" s="35" t="s">
        <v>1108</v>
      </c>
      <c r="B917" s="36" t="s">
        <v>1104</v>
      </c>
      <c r="C917" s="37">
        <v>10.0</v>
      </c>
      <c r="D917" s="30">
        <v>3.497917002451E12</v>
      </c>
      <c r="E917" s="38">
        <v>2.75</v>
      </c>
      <c r="F917" s="32">
        <v>27.5</v>
      </c>
      <c r="G917" s="33"/>
      <c r="H917" s="39">
        <f t="shared" si="96"/>
        <v>0</v>
      </c>
    </row>
    <row r="918" ht="15.0" customHeight="1">
      <c r="A918" s="35" t="s">
        <v>1109</v>
      </c>
      <c r="B918" s="36" t="s">
        <v>1110</v>
      </c>
      <c r="C918" s="37">
        <v>8.0</v>
      </c>
      <c r="D918" s="30">
        <v>3.760326670086E12</v>
      </c>
      <c r="E918" s="38">
        <v>2.75</v>
      </c>
      <c r="F918" s="32">
        <v>22.0</v>
      </c>
      <c r="G918" s="33"/>
      <c r="H918" s="39">
        <f t="shared" si="96"/>
        <v>0</v>
      </c>
    </row>
    <row r="919" ht="15.0" customHeight="1">
      <c r="A919" s="27" t="s">
        <v>1111</v>
      </c>
      <c r="B919" s="28"/>
      <c r="C919" s="29"/>
      <c r="D919" s="30"/>
      <c r="E919" s="31"/>
      <c r="F919" s="32"/>
      <c r="G919" s="33"/>
      <c r="H919" s="39"/>
    </row>
    <row r="920" ht="15.0" customHeight="1">
      <c r="A920" s="35" t="s">
        <v>1112</v>
      </c>
      <c r="B920" s="36" t="s">
        <v>1104</v>
      </c>
      <c r="C920" s="37">
        <v>24.0</v>
      </c>
      <c r="D920" s="30">
        <v>3.168930009917E12</v>
      </c>
      <c r="E920" s="38">
        <v>1.45</v>
      </c>
      <c r="F920" s="32">
        <v>34.8</v>
      </c>
      <c r="G920" s="33"/>
      <c r="H920" s="39">
        <f t="shared" ref="H920:H929" si="97">G920*F920</f>
        <v>0</v>
      </c>
    </row>
    <row r="921" ht="15.0" customHeight="1">
      <c r="A921" s="35" t="s">
        <v>1113</v>
      </c>
      <c r="B921" s="36" t="s">
        <v>1104</v>
      </c>
      <c r="C921" s="37">
        <v>12.0</v>
      </c>
      <c r="D921" s="30">
        <v>3.168930010067E12</v>
      </c>
      <c r="E921" s="38">
        <v>1.45</v>
      </c>
      <c r="F921" s="32">
        <v>17.4</v>
      </c>
      <c r="G921" s="33"/>
      <c r="H921" s="39">
        <f t="shared" si="97"/>
        <v>0</v>
      </c>
    </row>
    <row r="922" ht="15.0" customHeight="1">
      <c r="A922" s="35" t="s">
        <v>1114</v>
      </c>
      <c r="B922" s="36" t="s">
        <v>1104</v>
      </c>
      <c r="C922" s="37">
        <v>24.0</v>
      </c>
      <c r="D922" s="30">
        <v>3.168930177678E12</v>
      </c>
      <c r="E922" s="38">
        <v>1.45</v>
      </c>
      <c r="F922" s="32">
        <v>34.8</v>
      </c>
      <c r="G922" s="33"/>
      <c r="H922" s="39">
        <f t="shared" si="97"/>
        <v>0</v>
      </c>
    </row>
    <row r="923" ht="15.0" customHeight="1">
      <c r="A923" s="35" t="s">
        <v>1115</v>
      </c>
      <c r="B923" s="36" t="s">
        <v>1104</v>
      </c>
      <c r="C923" s="37">
        <v>24.0</v>
      </c>
      <c r="D923" s="30">
        <v>3.168930167952E12</v>
      </c>
      <c r="E923" s="38">
        <v>1.45</v>
      </c>
      <c r="F923" s="32">
        <v>34.8</v>
      </c>
      <c r="G923" s="33"/>
      <c r="H923" s="39">
        <f t="shared" si="97"/>
        <v>0</v>
      </c>
    </row>
    <row r="924" ht="15.0" customHeight="1">
      <c r="A924" s="35" t="s">
        <v>1116</v>
      </c>
      <c r="B924" s="36" t="s">
        <v>1104</v>
      </c>
      <c r="C924" s="37">
        <v>24.0</v>
      </c>
      <c r="D924" s="30">
        <v>3.168930167891E12</v>
      </c>
      <c r="E924" s="38">
        <v>1.45</v>
      </c>
      <c r="F924" s="32">
        <v>34.8</v>
      </c>
      <c r="G924" s="33"/>
      <c r="H924" s="39">
        <f t="shared" si="97"/>
        <v>0</v>
      </c>
    </row>
    <row r="925" ht="15.0" customHeight="1">
      <c r="A925" s="35" t="s">
        <v>1117</v>
      </c>
      <c r="B925" s="36" t="s">
        <v>1104</v>
      </c>
      <c r="C925" s="37">
        <v>24.0</v>
      </c>
      <c r="D925" s="30">
        <v>3.168930177616E12</v>
      </c>
      <c r="E925" s="38">
        <v>1.45</v>
      </c>
      <c r="F925" s="32">
        <v>34.8</v>
      </c>
      <c r="G925" s="33"/>
      <c r="H925" s="39">
        <f t="shared" si="97"/>
        <v>0</v>
      </c>
    </row>
    <row r="926" ht="15.0" customHeight="1">
      <c r="A926" s="98" t="s">
        <v>1118</v>
      </c>
      <c r="B926" s="36" t="s">
        <v>1104</v>
      </c>
      <c r="C926" s="37">
        <v>24.0</v>
      </c>
      <c r="D926" s="30">
        <v>3.168930167921E12</v>
      </c>
      <c r="E926" s="38">
        <v>1.45</v>
      </c>
      <c r="F926" s="32">
        <v>34.8</v>
      </c>
      <c r="G926" s="33"/>
      <c r="H926" s="39">
        <f t="shared" si="97"/>
        <v>0</v>
      </c>
    </row>
    <row r="927" ht="15.0" customHeight="1">
      <c r="A927" s="35" t="s">
        <v>1119</v>
      </c>
      <c r="B927" s="36" t="s">
        <v>1104</v>
      </c>
      <c r="C927" s="37">
        <v>24.0</v>
      </c>
      <c r="D927" s="30">
        <v>3.16893017635E12</v>
      </c>
      <c r="E927" s="38">
        <v>1.45</v>
      </c>
      <c r="F927" s="32">
        <v>34.8</v>
      </c>
      <c r="G927" s="33"/>
      <c r="H927" s="39">
        <f t="shared" si="97"/>
        <v>0</v>
      </c>
    </row>
    <row r="928" ht="15.0" customHeight="1">
      <c r="A928" s="35" t="s">
        <v>1120</v>
      </c>
      <c r="B928" s="36" t="s">
        <v>1104</v>
      </c>
      <c r="C928" s="37">
        <v>24.0</v>
      </c>
      <c r="D928" s="30">
        <v>3.168930177647E12</v>
      </c>
      <c r="E928" s="38">
        <v>1.45</v>
      </c>
      <c r="F928" s="32">
        <v>34.8</v>
      </c>
      <c r="G928" s="33"/>
      <c r="H928" s="39">
        <f t="shared" si="97"/>
        <v>0</v>
      </c>
    </row>
    <row r="929" ht="15.0" customHeight="1">
      <c r="A929" s="35" t="s">
        <v>1121</v>
      </c>
      <c r="B929" s="36" t="s">
        <v>1104</v>
      </c>
      <c r="C929" s="37">
        <v>24.0</v>
      </c>
      <c r="D929" s="30">
        <v>3.168930176329E12</v>
      </c>
      <c r="E929" s="38">
        <v>1.45</v>
      </c>
      <c r="F929" s="32">
        <v>34.8</v>
      </c>
      <c r="G929" s="33"/>
      <c r="H929" s="39">
        <f t="shared" si="97"/>
        <v>0</v>
      </c>
    </row>
    <row r="930" ht="15.0" customHeight="1">
      <c r="A930" s="27" t="s">
        <v>1122</v>
      </c>
      <c r="B930" s="28"/>
      <c r="C930" s="29"/>
      <c r="D930" s="30"/>
      <c r="E930" s="31"/>
      <c r="F930" s="32"/>
      <c r="G930" s="33"/>
      <c r="H930" s="39"/>
    </row>
    <row r="931" ht="15.0" customHeight="1">
      <c r="A931" s="35" t="s">
        <v>1123</v>
      </c>
      <c r="B931" s="36" t="s">
        <v>1107</v>
      </c>
      <c r="C931" s="37">
        <v>18.0</v>
      </c>
      <c r="D931" s="30">
        <v>8.412600037461E12</v>
      </c>
      <c r="E931" s="38">
        <v>1.95</v>
      </c>
      <c r="F931" s="32">
        <v>35.1</v>
      </c>
      <c r="G931" s="33"/>
      <c r="H931" s="39">
        <f t="shared" ref="H931:H936" si="98">G931*F931</f>
        <v>0</v>
      </c>
    </row>
    <row r="932" ht="15.0" customHeight="1">
      <c r="A932" s="35" t="s">
        <v>1124</v>
      </c>
      <c r="B932" s="36" t="s">
        <v>1107</v>
      </c>
      <c r="C932" s="37">
        <v>18.0</v>
      </c>
      <c r="D932" s="30">
        <v>8.412600019672E12</v>
      </c>
      <c r="E932" s="38">
        <v>1.95</v>
      </c>
      <c r="F932" s="32">
        <v>35.1</v>
      </c>
      <c r="G932" s="33"/>
      <c r="H932" s="39">
        <f t="shared" si="98"/>
        <v>0</v>
      </c>
    </row>
    <row r="933" ht="15.0" customHeight="1">
      <c r="A933" s="35" t="s">
        <v>1125</v>
      </c>
      <c r="B933" s="36" t="s">
        <v>1107</v>
      </c>
      <c r="C933" s="37">
        <v>18.0</v>
      </c>
      <c r="D933" s="30">
        <v>8.412600038727E12</v>
      </c>
      <c r="E933" s="38">
        <v>1.95</v>
      </c>
      <c r="F933" s="32">
        <v>35.1</v>
      </c>
      <c r="G933" s="33"/>
      <c r="H933" s="39">
        <f t="shared" si="98"/>
        <v>0</v>
      </c>
    </row>
    <row r="934" ht="15.0" customHeight="1">
      <c r="A934" s="35" t="s">
        <v>1126</v>
      </c>
      <c r="B934" s="36" t="s">
        <v>1107</v>
      </c>
      <c r="C934" s="37">
        <v>18.0</v>
      </c>
      <c r="D934" s="30">
        <v>8.412600019689E12</v>
      </c>
      <c r="E934" s="38">
        <v>1.95</v>
      </c>
      <c r="F934" s="32">
        <v>35.1</v>
      </c>
      <c r="G934" s="33"/>
      <c r="H934" s="39">
        <f t="shared" si="98"/>
        <v>0</v>
      </c>
    </row>
    <row r="935" ht="15.0" customHeight="1">
      <c r="A935" s="43" t="s">
        <v>1127</v>
      </c>
      <c r="B935" s="54" t="s">
        <v>1107</v>
      </c>
      <c r="C935" s="56">
        <v>18.0</v>
      </c>
      <c r="D935" s="47" t="s">
        <v>1128</v>
      </c>
      <c r="E935" s="55">
        <v>1.95</v>
      </c>
      <c r="F935" s="134">
        <v>35.1</v>
      </c>
      <c r="G935" s="33"/>
      <c r="H935" s="39">
        <f t="shared" si="98"/>
        <v>0</v>
      </c>
    </row>
    <row r="936" ht="15.0" customHeight="1">
      <c r="A936" s="43" t="s">
        <v>1129</v>
      </c>
      <c r="B936" s="54" t="s">
        <v>1107</v>
      </c>
      <c r="C936" s="56">
        <v>18.0</v>
      </c>
      <c r="D936" s="47" t="s">
        <v>1130</v>
      </c>
      <c r="E936" s="55">
        <v>1.95</v>
      </c>
      <c r="F936" s="134">
        <v>35.1</v>
      </c>
      <c r="G936" s="33"/>
      <c r="H936" s="39">
        <f t="shared" si="98"/>
        <v>0</v>
      </c>
    </row>
    <row r="937" ht="15.0" customHeight="1">
      <c r="A937" s="27" t="s">
        <v>1131</v>
      </c>
      <c r="B937" s="28"/>
      <c r="C937" s="29"/>
      <c r="D937" s="30"/>
      <c r="E937" s="31"/>
      <c r="F937" s="32"/>
      <c r="G937" s="33"/>
      <c r="H937" s="39"/>
    </row>
    <row r="938" ht="15.0" customHeight="1">
      <c r="A938" s="35" t="s">
        <v>1132</v>
      </c>
      <c r="B938" s="135" t="s">
        <v>1133</v>
      </c>
      <c r="C938" s="37">
        <v>12.0</v>
      </c>
      <c r="D938" s="30">
        <v>3.168930502005E12</v>
      </c>
      <c r="E938" s="38">
        <v>1.15</v>
      </c>
      <c r="F938" s="32">
        <v>13.8</v>
      </c>
      <c r="G938" s="33"/>
      <c r="H938" s="39">
        <f t="shared" ref="H938:H941" si="99">G938*F938</f>
        <v>0</v>
      </c>
    </row>
    <row r="939" ht="15.0" customHeight="1">
      <c r="A939" s="35" t="s">
        <v>1134</v>
      </c>
      <c r="B939" s="36" t="s">
        <v>1135</v>
      </c>
      <c r="C939" s="37">
        <v>14.0</v>
      </c>
      <c r="D939" s="30">
        <v>3.168930177852E12</v>
      </c>
      <c r="E939" s="38">
        <v>1.2</v>
      </c>
      <c r="F939" s="32">
        <f>E939*C939</f>
        <v>16.8</v>
      </c>
      <c r="G939" s="33"/>
      <c r="H939" s="39">
        <f t="shared" si="99"/>
        <v>0</v>
      </c>
    </row>
    <row r="940" ht="15.0" customHeight="1">
      <c r="A940" s="35" t="s">
        <v>1136</v>
      </c>
      <c r="B940" s="36" t="s">
        <v>1135</v>
      </c>
      <c r="C940" s="37">
        <v>15.0</v>
      </c>
      <c r="D940" s="30">
        <v>3.168930178118E12</v>
      </c>
      <c r="E940" s="38">
        <v>1.2</v>
      </c>
      <c r="F940" s="32">
        <v>18.0</v>
      </c>
      <c r="G940" s="33"/>
      <c r="H940" s="39">
        <f t="shared" si="99"/>
        <v>0</v>
      </c>
    </row>
    <row r="941" ht="15.0" customHeight="1">
      <c r="A941" s="35" t="s">
        <v>1137</v>
      </c>
      <c r="B941" s="36" t="s">
        <v>1135</v>
      </c>
      <c r="C941" s="37">
        <v>15.0</v>
      </c>
      <c r="D941" s="30">
        <v>3.168930178149E12</v>
      </c>
      <c r="E941" s="38">
        <v>1.2</v>
      </c>
      <c r="F941" s="32">
        <v>18.0</v>
      </c>
      <c r="G941" s="33"/>
      <c r="H941" s="39">
        <f t="shared" si="99"/>
        <v>0</v>
      </c>
    </row>
    <row r="942" ht="15.0" customHeight="1">
      <c r="A942" s="27" t="s">
        <v>1138</v>
      </c>
      <c r="B942" s="28"/>
      <c r="C942" s="29"/>
      <c r="D942" s="30"/>
      <c r="E942" s="31"/>
      <c r="F942" s="32"/>
      <c r="G942" s="33"/>
      <c r="H942" s="39"/>
    </row>
    <row r="943" ht="15.0" customHeight="1">
      <c r="A943" s="35" t="s">
        <v>1139</v>
      </c>
      <c r="B943" s="36" t="s">
        <v>1140</v>
      </c>
      <c r="C943" s="37">
        <v>10.0</v>
      </c>
      <c r="D943" s="30">
        <v>3.168930173373E12</v>
      </c>
      <c r="E943" s="38">
        <v>1.8</v>
      </c>
      <c r="F943" s="32">
        <v>18.0</v>
      </c>
      <c r="G943" s="33"/>
      <c r="H943" s="39">
        <f t="shared" ref="H943:H953" si="100">G943*F943</f>
        <v>0</v>
      </c>
    </row>
    <row r="944" ht="15.0" customHeight="1">
      <c r="A944" s="35" t="s">
        <v>1141</v>
      </c>
      <c r="B944" s="36" t="s">
        <v>1140</v>
      </c>
      <c r="C944" s="37">
        <v>10.0</v>
      </c>
      <c r="D944" s="30">
        <v>3.168930173199E12</v>
      </c>
      <c r="E944" s="38">
        <v>1.8</v>
      </c>
      <c r="F944" s="32">
        <v>18.0</v>
      </c>
      <c r="G944" s="33"/>
      <c r="H944" s="39">
        <f t="shared" si="100"/>
        <v>0</v>
      </c>
    </row>
    <row r="945" ht="15.0" customHeight="1">
      <c r="A945" s="35" t="s">
        <v>1142</v>
      </c>
      <c r="B945" s="36" t="s">
        <v>1140</v>
      </c>
      <c r="C945" s="37">
        <v>10.0</v>
      </c>
      <c r="D945" s="30">
        <v>3.168930173229E12</v>
      </c>
      <c r="E945" s="38">
        <v>1.8</v>
      </c>
      <c r="F945" s="32">
        <v>18.0</v>
      </c>
      <c r="G945" s="33"/>
      <c r="H945" s="39">
        <f t="shared" si="100"/>
        <v>0</v>
      </c>
    </row>
    <row r="946" ht="15.0" customHeight="1">
      <c r="A946" s="35" t="s">
        <v>1143</v>
      </c>
      <c r="B946" s="36" t="s">
        <v>1140</v>
      </c>
      <c r="C946" s="37">
        <v>10.0</v>
      </c>
      <c r="D946" s="30">
        <v>3.168930173311E12</v>
      </c>
      <c r="E946" s="38">
        <v>1.8</v>
      </c>
      <c r="F946" s="32">
        <v>18.0</v>
      </c>
      <c r="G946" s="33"/>
      <c r="H946" s="39">
        <f t="shared" si="100"/>
        <v>0</v>
      </c>
    </row>
    <row r="947" ht="15.0" customHeight="1">
      <c r="A947" s="35" t="s">
        <v>1144</v>
      </c>
      <c r="B947" s="36" t="s">
        <v>1140</v>
      </c>
      <c r="C947" s="37">
        <v>10.0</v>
      </c>
      <c r="D947" s="30">
        <v>3.168930173403E12</v>
      </c>
      <c r="E947" s="38">
        <v>1.8</v>
      </c>
      <c r="F947" s="32">
        <v>18.0</v>
      </c>
      <c r="G947" s="33"/>
      <c r="H947" s="39">
        <f t="shared" si="100"/>
        <v>0</v>
      </c>
    </row>
    <row r="948" ht="15.0" customHeight="1">
      <c r="A948" s="35" t="s">
        <v>1145</v>
      </c>
      <c r="B948" s="36" t="s">
        <v>1140</v>
      </c>
      <c r="C948" s="37">
        <v>10.0</v>
      </c>
      <c r="D948" s="30">
        <v>3.16893017325E12</v>
      </c>
      <c r="E948" s="38">
        <v>1.8</v>
      </c>
      <c r="F948" s="32">
        <v>18.0</v>
      </c>
      <c r="G948" s="33"/>
      <c r="H948" s="39">
        <f t="shared" si="100"/>
        <v>0</v>
      </c>
    </row>
    <row r="949" ht="15.0" customHeight="1">
      <c r="A949" s="35" t="s">
        <v>1146</v>
      </c>
      <c r="B949" s="36" t="s">
        <v>1147</v>
      </c>
      <c r="C949" s="37">
        <v>6.0</v>
      </c>
      <c r="D949" s="30">
        <v>3.168930166139E12</v>
      </c>
      <c r="E949" s="38">
        <v>2.09</v>
      </c>
      <c r="F949" s="32">
        <v>12.54</v>
      </c>
      <c r="G949" s="33"/>
      <c r="H949" s="39">
        <f t="shared" si="100"/>
        <v>0</v>
      </c>
    </row>
    <row r="950" ht="15.0" customHeight="1">
      <c r="A950" s="35" t="s">
        <v>1148</v>
      </c>
      <c r="B950" s="36" t="s">
        <v>1147</v>
      </c>
      <c r="C950" s="37">
        <v>6.0</v>
      </c>
      <c r="D950" s="30">
        <v>3.168930166078E12</v>
      </c>
      <c r="E950" s="38">
        <v>2.09</v>
      </c>
      <c r="F950" s="32">
        <v>12.54</v>
      </c>
      <c r="G950" s="33"/>
      <c r="H950" s="39">
        <f t="shared" si="100"/>
        <v>0</v>
      </c>
    </row>
    <row r="951" ht="15.0" customHeight="1">
      <c r="A951" s="35" t="s">
        <v>1149</v>
      </c>
      <c r="B951" s="36" t="s">
        <v>1147</v>
      </c>
      <c r="C951" s="37">
        <v>6.0</v>
      </c>
      <c r="D951" s="30">
        <v>3.168930166047E12</v>
      </c>
      <c r="E951" s="38">
        <v>2.09</v>
      </c>
      <c r="F951" s="32">
        <v>12.54</v>
      </c>
      <c r="G951" s="33"/>
      <c r="H951" s="39">
        <f t="shared" si="100"/>
        <v>0</v>
      </c>
    </row>
    <row r="952" ht="15.0" customHeight="1">
      <c r="A952" s="35" t="s">
        <v>1150</v>
      </c>
      <c r="B952" s="36" t="s">
        <v>1147</v>
      </c>
      <c r="C952" s="37">
        <v>6.0</v>
      </c>
      <c r="D952" s="30">
        <v>3.168930166108E12</v>
      </c>
      <c r="E952" s="38">
        <v>2.09</v>
      </c>
      <c r="F952" s="32">
        <v>12.54</v>
      </c>
      <c r="G952" s="33"/>
      <c r="H952" s="39">
        <f t="shared" si="100"/>
        <v>0</v>
      </c>
    </row>
    <row r="953" ht="15.0" customHeight="1">
      <c r="A953" s="35" t="s">
        <v>1151</v>
      </c>
      <c r="B953" s="36" t="s">
        <v>1147</v>
      </c>
      <c r="C953" s="37">
        <v>6.0</v>
      </c>
      <c r="D953" s="30">
        <v>3.168930171881E12</v>
      </c>
      <c r="E953" s="38">
        <v>2.09</v>
      </c>
      <c r="F953" s="32">
        <v>12.54</v>
      </c>
      <c r="G953" s="33"/>
      <c r="H953" s="39">
        <f t="shared" si="100"/>
        <v>0</v>
      </c>
    </row>
    <row r="954" ht="15.0" customHeight="1">
      <c r="A954" s="27" t="s">
        <v>1152</v>
      </c>
      <c r="B954" s="28"/>
      <c r="C954" s="29"/>
      <c r="D954" s="30"/>
      <c r="E954" s="31"/>
      <c r="F954" s="32"/>
      <c r="G954" s="33"/>
      <c r="H954" s="39"/>
    </row>
    <row r="955" ht="15.0" customHeight="1">
      <c r="A955" s="35" t="s">
        <v>1153</v>
      </c>
      <c r="B955" s="36" t="s">
        <v>1154</v>
      </c>
      <c r="C955" s="37">
        <v>19.0</v>
      </c>
      <c r="D955" s="30">
        <v>5.050083943645E12</v>
      </c>
      <c r="E955" s="38">
        <v>1.99</v>
      </c>
      <c r="F955" s="32">
        <v>37.81</v>
      </c>
      <c r="G955" s="33"/>
      <c r="H955" s="39">
        <f t="shared" ref="H955:H959" si="101">G955*F955</f>
        <v>0</v>
      </c>
    </row>
    <row r="956" ht="15.0" customHeight="1">
      <c r="A956" s="35" t="s">
        <v>1155</v>
      </c>
      <c r="B956" s="36" t="s">
        <v>1154</v>
      </c>
      <c r="C956" s="37">
        <v>19.0</v>
      </c>
      <c r="D956" s="30">
        <v>5.050083943652E12</v>
      </c>
      <c r="E956" s="38">
        <v>1.99</v>
      </c>
      <c r="F956" s="32">
        <v>37.81</v>
      </c>
      <c r="G956" s="33"/>
      <c r="H956" s="39">
        <f t="shared" si="101"/>
        <v>0</v>
      </c>
    </row>
    <row r="957" ht="15.0" customHeight="1">
      <c r="A957" s="35" t="s">
        <v>1156</v>
      </c>
      <c r="B957" s="36" t="s">
        <v>1154</v>
      </c>
      <c r="C957" s="37">
        <v>19.0</v>
      </c>
      <c r="D957" s="30">
        <v>5.053990113118E12</v>
      </c>
      <c r="E957" s="38">
        <v>1.99</v>
      </c>
      <c r="F957" s="32">
        <v>37.81</v>
      </c>
      <c r="G957" s="33"/>
      <c r="H957" s="39">
        <f t="shared" si="101"/>
        <v>0</v>
      </c>
    </row>
    <row r="958" ht="15.0" customHeight="1">
      <c r="A958" s="35" t="s">
        <v>1157</v>
      </c>
      <c r="B958" s="36" t="s">
        <v>1154</v>
      </c>
      <c r="C958" s="37">
        <v>19.0</v>
      </c>
      <c r="D958" s="30">
        <v>5.053990164158E12</v>
      </c>
      <c r="E958" s="38">
        <v>1.99</v>
      </c>
      <c r="F958" s="32">
        <v>37.81</v>
      </c>
      <c r="G958" s="33"/>
      <c r="H958" s="39">
        <f t="shared" si="101"/>
        <v>0</v>
      </c>
    </row>
    <row r="959" ht="15.0" customHeight="1">
      <c r="A959" s="35" t="s">
        <v>1158</v>
      </c>
      <c r="B959" s="36" t="s">
        <v>1154</v>
      </c>
      <c r="C959" s="37">
        <v>19.0</v>
      </c>
      <c r="D959" s="30">
        <v>5.053990155941E12</v>
      </c>
      <c r="E959" s="38">
        <v>1.99</v>
      </c>
      <c r="F959" s="32">
        <v>37.81</v>
      </c>
      <c r="G959" s="33"/>
      <c r="H959" s="39">
        <f t="shared" si="101"/>
        <v>0</v>
      </c>
    </row>
    <row r="960" ht="15.0" customHeight="1">
      <c r="A960" s="27" t="s">
        <v>1159</v>
      </c>
      <c r="B960" s="28"/>
      <c r="C960" s="29"/>
      <c r="D960" s="30"/>
      <c r="E960" s="31"/>
      <c r="F960" s="32"/>
      <c r="G960" s="33"/>
      <c r="H960" s="39"/>
    </row>
    <row r="961" ht="15.0" customHeight="1">
      <c r="A961" s="35" t="s">
        <v>1160</v>
      </c>
      <c r="B961" s="36" t="s">
        <v>1161</v>
      </c>
      <c r="C961" s="37">
        <v>12.0</v>
      </c>
      <c r="D961" s="30">
        <v>5.949040201105E12</v>
      </c>
      <c r="E961" s="38">
        <v>1.65</v>
      </c>
      <c r="F961" s="32">
        <v>19.8</v>
      </c>
      <c r="G961" s="33"/>
      <c r="H961" s="39">
        <f t="shared" ref="H961:H965" si="102">G961*F961</f>
        <v>0</v>
      </c>
    </row>
    <row r="962" ht="15.0" customHeight="1">
      <c r="A962" s="35" t="s">
        <v>1162</v>
      </c>
      <c r="B962" s="36" t="s">
        <v>1140</v>
      </c>
      <c r="C962" s="37">
        <v>12.0</v>
      </c>
      <c r="D962" s="30">
        <v>5.949040202072E12</v>
      </c>
      <c r="E962" s="38">
        <v>1.65</v>
      </c>
      <c r="F962" s="32">
        <v>19.8</v>
      </c>
      <c r="G962" s="33"/>
      <c r="H962" s="39">
        <f t="shared" si="102"/>
        <v>0</v>
      </c>
    </row>
    <row r="963" ht="15.0" customHeight="1">
      <c r="A963" s="35" t="s">
        <v>1163</v>
      </c>
      <c r="B963" s="36" t="s">
        <v>1161</v>
      </c>
      <c r="C963" s="37">
        <v>12.0</v>
      </c>
      <c r="D963" s="30">
        <v>5.949040201082E12</v>
      </c>
      <c r="E963" s="38">
        <v>1.65</v>
      </c>
      <c r="F963" s="32">
        <v>19.8</v>
      </c>
      <c r="G963" s="33"/>
      <c r="H963" s="39">
        <f t="shared" si="102"/>
        <v>0</v>
      </c>
    </row>
    <row r="964" ht="15.0" customHeight="1">
      <c r="A964" s="35" t="s">
        <v>1164</v>
      </c>
      <c r="B964" s="36" t="s">
        <v>1140</v>
      </c>
      <c r="C964" s="37">
        <v>15.0</v>
      </c>
      <c r="D964" s="30">
        <v>5.949040203505E12</v>
      </c>
      <c r="E964" s="38">
        <v>1.65</v>
      </c>
      <c r="F964" s="32">
        <v>24.75</v>
      </c>
      <c r="G964" s="33"/>
      <c r="H964" s="39">
        <f t="shared" si="102"/>
        <v>0</v>
      </c>
    </row>
    <row r="965" ht="15.0" customHeight="1">
      <c r="A965" s="35" t="s">
        <v>1165</v>
      </c>
      <c r="B965" s="36" t="s">
        <v>1062</v>
      </c>
      <c r="C965" s="37">
        <v>12.0</v>
      </c>
      <c r="D965" s="30">
        <v>5.949040203567E12</v>
      </c>
      <c r="E965" s="38">
        <v>1.5</v>
      </c>
      <c r="F965" s="32">
        <f>E965*C965</f>
        <v>18</v>
      </c>
      <c r="G965" s="33"/>
      <c r="H965" s="39">
        <f t="shared" si="102"/>
        <v>0</v>
      </c>
    </row>
    <row r="966" ht="15.0" customHeight="1">
      <c r="A966" s="35"/>
      <c r="B966" s="28"/>
      <c r="C966" s="29"/>
      <c r="D966" s="30"/>
      <c r="E966" s="31"/>
      <c r="F966" s="32"/>
      <c r="G966" s="33"/>
      <c r="H966" s="39"/>
    </row>
    <row r="967" ht="15.0" customHeight="1">
      <c r="A967" s="27" t="s">
        <v>1166</v>
      </c>
      <c r="B967" s="28"/>
      <c r="C967" s="29"/>
      <c r="D967" s="30"/>
      <c r="E967" s="31"/>
      <c r="F967" s="32"/>
      <c r="G967" s="33"/>
      <c r="H967" s="39"/>
    </row>
    <row r="968" ht="15.0" customHeight="1">
      <c r="A968" s="35" t="s">
        <v>1167</v>
      </c>
      <c r="B968" s="36" t="s">
        <v>1168</v>
      </c>
      <c r="C968" s="37">
        <v>30.0</v>
      </c>
      <c r="D968" s="30">
        <v>8.852018101017E12</v>
      </c>
      <c r="E968" s="38">
        <v>0.5</v>
      </c>
      <c r="F968" s="32">
        <v>15.0</v>
      </c>
      <c r="G968" s="33"/>
      <c r="H968" s="39">
        <f t="shared" ref="H968:H983" si="103">G968*F968</f>
        <v>0</v>
      </c>
    </row>
    <row r="969" ht="15.0" customHeight="1">
      <c r="A969" s="35" t="s">
        <v>1169</v>
      </c>
      <c r="B969" s="36" t="s">
        <v>1168</v>
      </c>
      <c r="C969" s="37">
        <v>30.0</v>
      </c>
      <c r="D969" s="30">
        <v>8.852018101031E12</v>
      </c>
      <c r="E969" s="38">
        <v>0.5</v>
      </c>
      <c r="F969" s="32">
        <v>15.0</v>
      </c>
      <c r="G969" s="33"/>
      <c r="H969" s="39">
        <f t="shared" si="103"/>
        <v>0</v>
      </c>
    </row>
    <row r="970" ht="15.0" customHeight="1">
      <c r="A970" s="35" t="s">
        <v>1170</v>
      </c>
      <c r="B970" s="36" t="s">
        <v>1168</v>
      </c>
      <c r="C970" s="37">
        <v>30.0</v>
      </c>
      <c r="D970" s="30">
        <v>8.852018101055E12</v>
      </c>
      <c r="E970" s="38">
        <v>0.5</v>
      </c>
      <c r="F970" s="32">
        <v>15.0</v>
      </c>
      <c r="G970" s="33"/>
      <c r="H970" s="39">
        <f t="shared" si="103"/>
        <v>0</v>
      </c>
    </row>
    <row r="971" ht="15.0" customHeight="1">
      <c r="A971" s="35" t="s">
        <v>1171</v>
      </c>
      <c r="B971" s="36" t="s">
        <v>1168</v>
      </c>
      <c r="C971" s="37">
        <v>30.0</v>
      </c>
      <c r="D971" s="30">
        <v>8.852018101079E12</v>
      </c>
      <c r="E971" s="38">
        <v>0.5</v>
      </c>
      <c r="F971" s="32">
        <v>15.0</v>
      </c>
      <c r="G971" s="33"/>
      <c r="H971" s="39">
        <f t="shared" si="103"/>
        <v>0</v>
      </c>
    </row>
    <row r="972" ht="15.0" customHeight="1">
      <c r="A972" s="35" t="s">
        <v>1172</v>
      </c>
      <c r="B972" s="36" t="s">
        <v>1168</v>
      </c>
      <c r="C972" s="37">
        <v>30.0</v>
      </c>
      <c r="D972" s="30">
        <v>8.852018101062E12</v>
      </c>
      <c r="E972" s="38">
        <v>0.5</v>
      </c>
      <c r="F972" s="32">
        <v>15.0</v>
      </c>
      <c r="G972" s="33"/>
      <c r="H972" s="39">
        <f t="shared" si="103"/>
        <v>0</v>
      </c>
    </row>
    <row r="973" ht="15.0" customHeight="1">
      <c r="A973" s="35" t="s">
        <v>1173</v>
      </c>
      <c r="B973" s="36" t="s">
        <v>1168</v>
      </c>
      <c r="C973" s="37">
        <v>30.0</v>
      </c>
      <c r="D973" s="30">
        <v>8.852018101024E12</v>
      </c>
      <c r="E973" s="38">
        <v>0.5</v>
      </c>
      <c r="F973" s="32">
        <v>15.0</v>
      </c>
      <c r="G973" s="33"/>
      <c r="H973" s="39">
        <f t="shared" si="103"/>
        <v>0</v>
      </c>
    </row>
    <row r="974" ht="15.0" customHeight="1">
      <c r="A974" s="35" t="s">
        <v>1174</v>
      </c>
      <c r="B974" s="36" t="s">
        <v>1168</v>
      </c>
      <c r="C974" s="37">
        <v>30.0</v>
      </c>
      <c r="D974" s="30">
        <v>8.852018101154E12</v>
      </c>
      <c r="E974" s="38">
        <v>0.5</v>
      </c>
      <c r="F974" s="32">
        <v>15.0</v>
      </c>
      <c r="G974" s="33"/>
      <c r="H974" s="39">
        <f t="shared" si="103"/>
        <v>0</v>
      </c>
    </row>
    <row r="975" ht="15.0" customHeight="1">
      <c r="A975" s="35" t="s">
        <v>1175</v>
      </c>
      <c r="B975" s="36" t="s">
        <v>1176</v>
      </c>
      <c r="C975" s="37">
        <v>30.0</v>
      </c>
      <c r="D975" s="30">
        <v>8.852018101147E12</v>
      </c>
      <c r="E975" s="38">
        <v>0.55</v>
      </c>
      <c r="F975" s="32">
        <v>16.5</v>
      </c>
      <c r="G975" s="33"/>
      <c r="H975" s="39">
        <f t="shared" si="103"/>
        <v>0</v>
      </c>
    </row>
    <row r="976" ht="15.0" customHeight="1">
      <c r="A976" s="35" t="s">
        <v>1177</v>
      </c>
      <c r="B976" s="36" t="s">
        <v>1107</v>
      </c>
      <c r="C976" s="37">
        <v>20.0</v>
      </c>
      <c r="D976" s="30">
        <v>8.852018800019E12</v>
      </c>
      <c r="E976" s="38">
        <v>1.0</v>
      </c>
      <c r="F976" s="32">
        <v>20.0</v>
      </c>
      <c r="G976" s="33"/>
      <c r="H976" s="39">
        <f t="shared" si="103"/>
        <v>0</v>
      </c>
    </row>
    <row r="977" ht="15.0" customHeight="1">
      <c r="A977" s="35" t="s">
        <v>1178</v>
      </c>
      <c r="B977" s="36" t="s">
        <v>1107</v>
      </c>
      <c r="C977" s="37">
        <v>20.0</v>
      </c>
      <c r="D977" s="30">
        <v>8.852018800026E12</v>
      </c>
      <c r="E977" s="38">
        <v>1.0</v>
      </c>
      <c r="F977" s="32">
        <v>20.0</v>
      </c>
      <c r="G977" s="33"/>
      <c r="H977" s="39">
        <f t="shared" si="103"/>
        <v>0</v>
      </c>
    </row>
    <row r="978" ht="15.0" customHeight="1">
      <c r="A978" s="35" t="s">
        <v>1179</v>
      </c>
      <c r="B978" s="36" t="s">
        <v>1107</v>
      </c>
      <c r="C978" s="37">
        <v>20.0</v>
      </c>
      <c r="D978" s="30">
        <v>8.852018800033E12</v>
      </c>
      <c r="E978" s="38">
        <v>1.0</v>
      </c>
      <c r="F978" s="32">
        <v>20.0</v>
      </c>
      <c r="G978" s="33"/>
      <c r="H978" s="39">
        <f t="shared" si="103"/>
        <v>0</v>
      </c>
    </row>
    <row r="979" ht="15.0" customHeight="1">
      <c r="A979" s="35" t="s">
        <v>1180</v>
      </c>
      <c r="B979" s="36" t="s">
        <v>1176</v>
      </c>
      <c r="C979" s="37">
        <v>12.0</v>
      </c>
      <c r="D979" s="30">
        <v>8.852018201014E12</v>
      </c>
      <c r="E979" s="38">
        <v>1.2</v>
      </c>
      <c r="F979" s="32">
        <v>14.4</v>
      </c>
      <c r="G979" s="33"/>
      <c r="H979" s="39">
        <f t="shared" si="103"/>
        <v>0</v>
      </c>
    </row>
    <row r="980" ht="15.0" customHeight="1">
      <c r="A980" s="35" t="s">
        <v>1181</v>
      </c>
      <c r="B980" s="36" t="s">
        <v>1176</v>
      </c>
      <c r="C980" s="37">
        <v>12.0</v>
      </c>
      <c r="D980" s="30">
        <v>8.852018201144E12</v>
      </c>
      <c r="E980" s="38">
        <v>1.2</v>
      </c>
      <c r="F980" s="32">
        <v>14.4</v>
      </c>
      <c r="G980" s="33"/>
      <c r="H980" s="39">
        <f t="shared" si="103"/>
        <v>0</v>
      </c>
    </row>
    <row r="981" ht="15.0" customHeight="1">
      <c r="A981" s="35" t="s">
        <v>1182</v>
      </c>
      <c r="B981" s="36" t="s">
        <v>1176</v>
      </c>
      <c r="C981" s="37">
        <v>12.0</v>
      </c>
      <c r="D981" s="30">
        <v>8.852018201045E12</v>
      </c>
      <c r="E981" s="38">
        <v>1.2</v>
      </c>
      <c r="F981" s="32">
        <v>14.4</v>
      </c>
      <c r="G981" s="33"/>
      <c r="H981" s="39">
        <f t="shared" si="103"/>
        <v>0</v>
      </c>
    </row>
    <row r="982" ht="15.0" customHeight="1">
      <c r="A982" s="35" t="s">
        <v>1183</v>
      </c>
      <c r="B982" s="36" t="s">
        <v>1176</v>
      </c>
      <c r="C982" s="37">
        <v>12.0</v>
      </c>
      <c r="D982" s="30">
        <v>8.852018201021E12</v>
      </c>
      <c r="E982" s="38">
        <v>1.2</v>
      </c>
      <c r="F982" s="32">
        <v>14.4</v>
      </c>
      <c r="G982" s="33"/>
      <c r="H982" s="39">
        <f t="shared" si="103"/>
        <v>0</v>
      </c>
    </row>
    <row r="983" ht="15.0" customHeight="1">
      <c r="A983" s="35" t="s">
        <v>1184</v>
      </c>
      <c r="B983" s="36" t="s">
        <v>1176</v>
      </c>
      <c r="C983" s="37">
        <v>12.0</v>
      </c>
      <c r="D983" s="30">
        <v>8.852018201069E12</v>
      </c>
      <c r="E983" s="38">
        <v>1.2</v>
      </c>
      <c r="F983" s="32">
        <v>14.4</v>
      </c>
      <c r="G983" s="33"/>
      <c r="H983" s="39">
        <f t="shared" si="103"/>
        <v>0</v>
      </c>
    </row>
    <row r="984" ht="15.0" customHeight="1">
      <c r="A984" s="27" t="s">
        <v>1185</v>
      </c>
      <c r="B984" s="28"/>
      <c r="C984" s="29"/>
      <c r="D984" s="30"/>
      <c r="E984" s="31"/>
      <c r="F984" s="32"/>
      <c r="G984" s="33"/>
      <c r="H984" s="39"/>
    </row>
    <row r="985" ht="15.0" customHeight="1">
      <c r="A985" s="27" t="s">
        <v>1186</v>
      </c>
      <c r="B985" s="36"/>
      <c r="C985" s="37"/>
      <c r="D985" s="30"/>
      <c r="E985" s="31"/>
      <c r="F985" s="32"/>
      <c r="G985" s="33"/>
      <c r="H985" s="39"/>
    </row>
    <row r="986" ht="15.0" customHeight="1">
      <c r="A986" s="35" t="s">
        <v>1187</v>
      </c>
      <c r="B986" s="36" t="s">
        <v>1188</v>
      </c>
      <c r="C986" s="37">
        <v>40.0</v>
      </c>
      <c r="D986" s="30">
        <v>8.801073141858E12</v>
      </c>
      <c r="E986" s="38">
        <v>1.45</v>
      </c>
      <c r="F986" s="32">
        <v>58.0</v>
      </c>
      <c r="G986" s="33"/>
      <c r="H986" s="39">
        <f t="shared" ref="H986:H991" si="104">G986*F986</f>
        <v>0</v>
      </c>
    </row>
    <row r="987" ht="15.0" customHeight="1">
      <c r="A987" s="35" t="s">
        <v>1189</v>
      </c>
      <c r="B987" s="36" t="s">
        <v>1110</v>
      </c>
      <c r="C987" s="37">
        <v>40.0</v>
      </c>
      <c r="D987" s="30">
        <v>8.801073144484E12</v>
      </c>
      <c r="E987" s="38">
        <v>1.45</v>
      </c>
      <c r="F987" s="32">
        <v>58.0</v>
      </c>
      <c r="G987" s="33"/>
      <c r="H987" s="39">
        <f t="shared" si="104"/>
        <v>0</v>
      </c>
    </row>
    <row r="988" ht="15.0" customHeight="1">
      <c r="A988" s="35" t="s">
        <v>1190</v>
      </c>
      <c r="B988" s="36" t="s">
        <v>1191</v>
      </c>
      <c r="C988" s="37">
        <v>40.0</v>
      </c>
      <c r="D988" s="30">
        <v>8.801073144491E12</v>
      </c>
      <c r="E988" s="38">
        <v>1.45</v>
      </c>
      <c r="F988" s="32">
        <v>58.0</v>
      </c>
      <c r="G988" s="33"/>
      <c r="H988" s="39">
        <f t="shared" si="104"/>
        <v>0</v>
      </c>
    </row>
    <row r="989" ht="15.0" customHeight="1">
      <c r="A989" s="35" t="s">
        <v>1192</v>
      </c>
      <c r="B989" s="36" t="s">
        <v>1191</v>
      </c>
      <c r="C989" s="37">
        <v>40.0</v>
      </c>
      <c r="D989" s="30">
        <v>8.801073140578E12</v>
      </c>
      <c r="E989" s="38">
        <v>1.45</v>
      </c>
      <c r="F989" s="32">
        <v>58.0</v>
      </c>
      <c r="G989" s="33"/>
      <c r="H989" s="39">
        <f t="shared" si="104"/>
        <v>0</v>
      </c>
    </row>
    <row r="990" ht="15.0" customHeight="1">
      <c r="A990" s="35" t="s">
        <v>1193</v>
      </c>
      <c r="B990" s="36" t="s">
        <v>1191</v>
      </c>
      <c r="C990" s="37">
        <v>40.0</v>
      </c>
      <c r="D990" s="30">
        <v>8.801073141896E12</v>
      </c>
      <c r="E990" s="38">
        <v>1.45</v>
      </c>
      <c r="F990" s="32">
        <v>58.0</v>
      </c>
      <c r="G990" s="33"/>
      <c r="H990" s="39">
        <f t="shared" si="104"/>
        <v>0</v>
      </c>
    </row>
    <row r="991" ht="15.0" customHeight="1">
      <c r="A991" s="49" t="s">
        <v>1194</v>
      </c>
      <c r="B991" s="36" t="s">
        <v>1191</v>
      </c>
      <c r="C991" s="82" t="s">
        <v>1195</v>
      </c>
      <c r="D991" s="136">
        <v>8.801073143777E12</v>
      </c>
      <c r="E991" s="38">
        <v>1.45</v>
      </c>
      <c r="F991" s="32">
        <v>58.0</v>
      </c>
      <c r="G991" s="33"/>
      <c r="H991" s="39">
        <f t="shared" si="104"/>
        <v>0</v>
      </c>
    </row>
    <row r="992" ht="15.0" customHeight="1">
      <c r="A992" s="137" t="s">
        <v>1196</v>
      </c>
      <c r="B992" s="138"/>
      <c r="C992" s="139"/>
      <c r="D992" s="140"/>
      <c r="E992" s="31"/>
      <c r="F992" s="141"/>
      <c r="G992" s="34"/>
      <c r="H992" s="39"/>
    </row>
    <row r="993" ht="15.0" customHeight="1">
      <c r="A993" s="49" t="s">
        <v>1197</v>
      </c>
      <c r="B993" s="36" t="s">
        <v>1133</v>
      </c>
      <c r="C993" s="82" t="s">
        <v>1198</v>
      </c>
      <c r="D993" s="71">
        <v>8.801073211667E12</v>
      </c>
      <c r="E993" s="55">
        <v>1.65</v>
      </c>
      <c r="F993" s="54">
        <f t="shared" ref="F993:F995" si="105">E993*C993</f>
        <v>9.9</v>
      </c>
      <c r="G993" s="34"/>
      <c r="H993" s="39">
        <f t="shared" ref="H993:H995" si="106">G993*F993</f>
        <v>0</v>
      </c>
    </row>
    <row r="994" ht="15.0" customHeight="1">
      <c r="A994" s="49" t="s">
        <v>1199</v>
      </c>
      <c r="B994" s="36" t="s">
        <v>1176</v>
      </c>
      <c r="C994" s="82" t="s">
        <v>1198</v>
      </c>
      <c r="D994" s="142">
        <v>8.801073210776E12</v>
      </c>
      <c r="E994" s="55">
        <v>1.65</v>
      </c>
      <c r="F994" s="54">
        <f t="shared" si="105"/>
        <v>9.9</v>
      </c>
      <c r="G994" s="34"/>
      <c r="H994" s="39">
        <f t="shared" si="106"/>
        <v>0</v>
      </c>
    </row>
    <row r="995" ht="15.0" customHeight="1">
      <c r="A995" s="49" t="s">
        <v>1200</v>
      </c>
      <c r="B995" s="36" t="s">
        <v>1176</v>
      </c>
      <c r="C995" s="82" t="s">
        <v>1198</v>
      </c>
      <c r="D995" s="71">
        <v>8.801073211254E12</v>
      </c>
      <c r="E995" s="55">
        <v>1.65</v>
      </c>
      <c r="F995" s="54">
        <f t="shared" si="105"/>
        <v>9.9</v>
      </c>
      <c r="G995" s="34"/>
      <c r="H995" s="39">
        <f t="shared" si="106"/>
        <v>0</v>
      </c>
    </row>
    <row r="996" ht="15.0" customHeight="1">
      <c r="A996" s="137" t="s">
        <v>1201</v>
      </c>
      <c r="B996" s="36"/>
      <c r="C996" s="82"/>
      <c r="D996" s="71"/>
      <c r="E996" s="31"/>
      <c r="F996" s="54"/>
      <c r="G996" s="34"/>
      <c r="H996" s="39"/>
    </row>
    <row r="997" ht="15.0" customHeight="1">
      <c r="A997" s="49" t="s">
        <v>1202</v>
      </c>
      <c r="B997" s="36" t="s">
        <v>1203</v>
      </c>
      <c r="C997" s="82" t="s">
        <v>1204</v>
      </c>
      <c r="D997" s="71">
        <v>8.801073211063E12</v>
      </c>
      <c r="E997" s="55">
        <v>1.9</v>
      </c>
      <c r="F997" s="54">
        <f t="shared" ref="F997:F999" si="107">E997*C997</f>
        <v>30.4</v>
      </c>
      <c r="G997" s="34"/>
      <c r="H997" s="39">
        <f t="shared" ref="H997:H999" si="108">G997*F997</f>
        <v>0</v>
      </c>
    </row>
    <row r="998" ht="15.0" customHeight="1">
      <c r="A998" s="49" t="s">
        <v>1205</v>
      </c>
      <c r="B998" s="36" t="s">
        <v>1203</v>
      </c>
      <c r="C998" s="82" t="s">
        <v>1204</v>
      </c>
      <c r="D998" s="71">
        <v>8.801073210363E12</v>
      </c>
      <c r="E998" s="55">
        <v>1.9</v>
      </c>
      <c r="F998" s="54">
        <f t="shared" si="107"/>
        <v>30.4</v>
      </c>
      <c r="G998" s="34"/>
      <c r="H998" s="39">
        <f t="shared" si="108"/>
        <v>0</v>
      </c>
    </row>
    <row r="999" ht="15.0" customHeight="1">
      <c r="A999" s="49" t="s">
        <v>1206</v>
      </c>
      <c r="B999" s="36" t="s">
        <v>1203</v>
      </c>
      <c r="C999" s="82" t="s">
        <v>1204</v>
      </c>
      <c r="D999" s="142">
        <v>8.801073211216E12</v>
      </c>
      <c r="E999" s="55">
        <v>1.9</v>
      </c>
      <c r="F999" s="54">
        <f t="shared" si="107"/>
        <v>30.4</v>
      </c>
      <c r="G999" s="34"/>
      <c r="H999" s="39">
        <f t="shared" si="108"/>
        <v>0</v>
      </c>
    </row>
    <row r="1000" ht="15.0" customHeight="1">
      <c r="A1000" s="137" t="s">
        <v>1207</v>
      </c>
      <c r="B1000" s="36"/>
      <c r="C1000" s="82"/>
      <c r="D1000" s="142"/>
      <c r="E1000" s="55">
        <v>1.65</v>
      </c>
      <c r="F1000" s="54">
        <v>39.6</v>
      </c>
      <c r="G1000" s="34"/>
      <c r="H1000" s="39"/>
    </row>
    <row r="1001" ht="15.0" customHeight="1">
      <c r="A1001" s="49" t="s">
        <v>1208</v>
      </c>
      <c r="B1001" s="36" t="s">
        <v>1104</v>
      </c>
      <c r="C1001" s="82" t="s">
        <v>275</v>
      </c>
      <c r="D1001" s="142">
        <v>8.801073310735E12</v>
      </c>
      <c r="E1001" s="55">
        <v>1.65</v>
      </c>
      <c r="F1001" s="54">
        <f>E1001*C1001</f>
        <v>39.6</v>
      </c>
      <c r="G1001" s="34"/>
      <c r="H1001" s="39">
        <f t="shared" ref="H1001:H1015" si="109">G1001*F1001</f>
        <v>0</v>
      </c>
    </row>
    <row r="1002" ht="15.0" customHeight="1">
      <c r="A1002" s="35" t="s">
        <v>1209</v>
      </c>
      <c r="B1002" s="36" t="s">
        <v>1210</v>
      </c>
      <c r="C1002" s="37">
        <v>12.0</v>
      </c>
      <c r="D1002" s="30">
        <v>3.661945390013E12</v>
      </c>
      <c r="E1002" s="38">
        <v>1.35</v>
      </c>
      <c r="F1002" s="32">
        <v>16.2</v>
      </c>
      <c r="G1002" s="33"/>
      <c r="H1002" s="39">
        <f t="shared" si="109"/>
        <v>0</v>
      </c>
    </row>
    <row r="1003" ht="15.0" customHeight="1">
      <c r="A1003" s="35" t="s">
        <v>1211</v>
      </c>
      <c r="B1003" s="36" t="s">
        <v>1210</v>
      </c>
      <c r="C1003" s="37">
        <v>12.0</v>
      </c>
      <c r="D1003" s="30">
        <v>3.66194539002E12</v>
      </c>
      <c r="E1003" s="38">
        <v>1.35</v>
      </c>
      <c r="F1003" s="32">
        <v>16.2</v>
      </c>
      <c r="G1003" s="33"/>
      <c r="H1003" s="39">
        <f t="shared" si="109"/>
        <v>0</v>
      </c>
    </row>
    <row r="1004" ht="15.0" customHeight="1">
      <c r="A1004" s="35" t="s">
        <v>1212</v>
      </c>
      <c r="B1004" s="36" t="s">
        <v>1191</v>
      </c>
      <c r="C1004" s="37">
        <v>12.0</v>
      </c>
      <c r="D1004" s="30">
        <v>8.809054401526E12</v>
      </c>
      <c r="E1004" s="38">
        <v>2.55</v>
      </c>
      <c r="F1004" s="32">
        <v>30.6</v>
      </c>
      <c r="G1004" s="33"/>
      <c r="H1004" s="39">
        <f t="shared" si="109"/>
        <v>0</v>
      </c>
    </row>
    <row r="1005" ht="15.0" customHeight="1">
      <c r="A1005" s="35" t="s">
        <v>1213</v>
      </c>
      <c r="B1005" s="36" t="s">
        <v>1191</v>
      </c>
      <c r="C1005" s="37">
        <v>12.0</v>
      </c>
      <c r="D1005" s="30">
        <v>8.809054409034E12</v>
      </c>
      <c r="E1005" s="38">
        <v>2.55</v>
      </c>
      <c r="F1005" s="32">
        <v>30.6</v>
      </c>
      <c r="G1005" s="33"/>
      <c r="H1005" s="39">
        <f t="shared" si="109"/>
        <v>0</v>
      </c>
    </row>
    <row r="1006" ht="15.0" customHeight="1">
      <c r="A1006" s="35" t="s">
        <v>1214</v>
      </c>
      <c r="B1006" s="36" t="s">
        <v>1104</v>
      </c>
      <c r="C1006" s="37">
        <v>12.0</v>
      </c>
      <c r="D1006" s="30">
        <v>8.809054400529E12</v>
      </c>
      <c r="E1006" s="38">
        <v>2.55</v>
      </c>
      <c r="F1006" s="32">
        <v>30.6</v>
      </c>
      <c r="G1006" s="33"/>
      <c r="H1006" s="39">
        <f t="shared" si="109"/>
        <v>0</v>
      </c>
    </row>
    <row r="1007" ht="15.0" customHeight="1">
      <c r="A1007" s="35" t="s">
        <v>1215</v>
      </c>
      <c r="B1007" s="36" t="s">
        <v>1062</v>
      </c>
      <c r="C1007" s="37">
        <v>24.0</v>
      </c>
      <c r="D1007" s="72">
        <v>8.801392037078E12</v>
      </c>
      <c r="E1007" s="38">
        <v>2.89</v>
      </c>
      <c r="F1007" s="32">
        <v>69.36</v>
      </c>
      <c r="G1007" s="33"/>
      <c r="H1007" s="39">
        <f t="shared" si="109"/>
        <v>0</v>
      </c>
    </row>
    <row r="1008" ht="15.0" customHeight="1">
      <c r="A1008" s="35" t="s">
        <v>1216</v>
      </c>
      <c r="B1008" s="36" t="s">
        <v>1062</v>
      </c>
      <c r="C1008" s="37">
        <v>24.0</v>
      </c>
      <c r="D1008" s="30">
        <v>8.801392037092E12</v>
      </c>
      <c r="E1008" s="38">
        <v>2.89</v>
      </c>
      <c r="F1008" s="32">
        <v>69.36</v>
      </c>
      <c r="G1008" s="33"/>
      <c r="H1008" s="39">
        <f t="shared" si="109"/>
        <v>0</v>
      </c>
    </row>
    <row r="1009" ht="15.0" customHeight="1">
      <c r="A1009" s="35" t="s">
        <v>1217</v>
      </c>
      <c r="B1009" s="36" t="s">
        <v>1218</v>
      </c>
      <c r="C1009" s="37">
        <v>16.0</v>
      </c>
      <c r="D1009" s="30">
        <v>8.80107391027E12</v>
      </c>
      <c r="E1009" s="38">
        <v>2.89</v>
      </c>
      <c r="F1009" s="32">
        <f>E1009*C1009</f>
        <v>46.24</v>
      </c>
      <c r="G1009" s="33"/>
      <c r="H1009" s="39">
        <f t="shared" si="109"/>
        <v>0</v>
      </c>
    </row>
    <row r="1010" ht="15.0" customHeight="1">
      <c r="A1010" s="35" t="s">
        <v>1219</v>
      </c>
      <c r="B1010" s="36" t="s">
        <v>1220</v>
      </c>
      <c r="C1010" s="37">
        <v>12.0</v>
      </c>
      <c r="D1010" s="30">
        <v>3.661945310059E12</v>
      </c>
      <c r="E1010" s="38">
        <v>1.1</v>
      </c>
      <c r="F1010" s="32">
        <v>13.2</v>
      </c>
      <c r="G1010" s="33"/>
      <c r="H1010" s="39">
        <f t="shared" si="109"/>
        <v>0</v>
      </c>
    </row>
    <row r="1011" ht="15.0" customHeight="1">
      <c r="A1011" s="35" t="s">
        <v>1221</v>
      </c>
      <c r="B1011" s="36" t="s">
        <v>1107</v>
      </c>
      <c r="C1011" s="37">
        <v>12.0</v>
      </c>
      <c r="D1011" s="30">
        <v>3.661945730055E12</v>
      </c>
      <c r="E1011" s="38">
        <v>2.25</v>
      </c>
      <c r="F1011" s="32">
        <v>27.0</v>
      </c>
      <c r="G1011" s="33"/>
      <c r="H1011" s="39">
        <f t="shared" si="109"/>
        <v>0</v>
      </c>
    </row>
    <row r="1012" ht="15.0" customHeight="1">
      <c r="A1012" s="35" t="s">
        <v>1222</v>
      </c>
      <c r="B1012" s="36" t="s">
        <v>1191</v>
      </c>
      <c r="C1012" s="37">
        <v>12.0</v>
      </c>
      <c r="D1012" s="30">
        <v>3.661945730031E12</v>
      </c>
      <c r="E1012" s="38">
        <v>2.45</v>
      </c>
      <c r="F1012" s="32">
        <v>29.4</v>
      </c>
      <c r="G1012" s="33"/>
      <c r="H1012" s="39">
        <f t="shared" si="109"/>
        <v>0</v>
      </c>
    </row>
    <row r="1013" ht="15.0" customHeight="1">
      <c r="A1013" s="35" t="s">
        <v>1223</v>
      </c>
      <c r="B1013" s="36" t="s">
        <v>1224</v>
      </c>
      <c r="C1013" s="37">
        <v>12.0</v>
      </c>
      <c r="D1013" s="30">
        <v>8.934563284152E12</v>
      </c>
      <c r="E1013" s="38">
        <v>1.5</v>
      </c>
      <c r="F1013" s="32">
        <v>18.0</v>
      </c>
      <c r="G1013" s="33"/>
      <c r="H1013" s="39">
        <f t="shared" si="109"/>
        <v>0</v>
      </c>
    </row>
    <row r="1014" ht="15.0" customHeight="1">
      <c r="A1014" s="35" t="s">
        <v>1225</v>
      </c>
      <c r="B1014" s="36" t="s">
        <v>1224</v>
      </c>
      <c r="C1014" s="37">
        <v>12.0</v>
      </c>
      <c r="D1014" s="30">
        <v>8.934563283155E12</v>
      </c>
      <c r="E1014" s="38">
        <v>1.5</v>
      </c>
      <c r="F1014" s="32">
        <v>18.0</v>
      </c>
      <c r="G1014" s="33"/>
      <c r="H1014" s="39">
        <f t="shared" si="109"/>
        <v>0</v>
      </c>
    </row>
    <row r="1015" ht="15.0" customHeight="1">
      <c r="A1015" s="35" t="s">
        <v>1226</v>
      </c>
      <c r="B1015" s="36" t="s">
        <v>1224</v>
      </c>
      <c r="C1015" s="37">
        <v>12.0</v>
      </c>
      <c r="D1015" s="30">
        <v>8.934563282158E12</v>
      </c>
      <c r="E1015" s="38">
        <v>1.5</v>
      </c>
      <c r="F1015" s="32">
        <v>18.0</v>
      </c>
      <c r="G1015" s="33"/>
      <c r="H1015" s="39">
        <f t="shared" si="109"/>
        <v>0</v>
      </c>
    </row>
    <row r="1016" ht="15.0" customHeight="1">
      <c r="A1016" s="27" t="s">
        <v>1227</v>
      </c>
      <c r="B1016" s="28"/>
      <c r="C1016" s="29"/>
      <c r="D1016" s="30"/>
      <c r="E1016" s="31"/>
      <c r="F1016" s="32"/>
      <c r="G1016" s="33"/>
      <c r="H1016" s="39"/>
    </row>
    <row r="1017" ht="15.0" customHeight="1">
      <c r="A1017" s="35" t="s">
        <v>1228</v>
      </c>
      <c r="B1017" s="36" t="s">
        <v>1229</v>
      </c>
      <c r="C1017" s="37">
        <v>24.0</v>
      </c>
      <c r="D1017" s="30">
        <v>8.853662056005E12</v>
      </c>
      <c r="E1017" s="38">
        <v>2.29</v>
      </c>
      <c r="F1017" s="32">
        <v>54.96</v>
      </c>
      <c r="G1017" s="33"/>
      <c r="H1017" s="39">
        <f t="shared" ref="H1017:H1021" si="110">G1017*F1017</f>
        <v>0</v>
      </c>
    </row>
    <row r="1018" ht="15.0" customHeight="1">
      <c r="A1018" s="35" t="s">
        <v>1230</v>
      </c>
      <c r="B1018" s="36" t="s">
        <v>1229</v>
      </c>
      <c r="C1018" s="37">
        <v>12.0</v>
      </c>
      <c r="D1018" s="30">
        <v>8.853662056654E12</v>
      </c>
      <c r="E1018" s="38">
        <v>2.39</v>
      </c>
      <c r="F1018" s="32">
        <v>28.68</v>
      </c>
      <c r="G1018" s="33"/>
      <c r="H1018" s="39">
        <f t="shared" si="110"/>
        <v>0</v>
      </c>
    </row>
    <row r="1019" ht="15.0" customHeight="1">
      <c r="A1019" s="98" t="s">
        <v>1231</v>
      </c>
      <c r="B1019" s="36" t="s">
        <v>1229</v>
      </c>
      <c r="C1019" s="37">
        <v>12.0</v>
      </c>
      <c r="D1019" s="30">
        <v>8.853662060071E12</v>
      </c>
      <c r="E1019" s="38">
        <v>2.49</v>
      </c>
      <c r="F1019" s="32">
        <v>29.88</v>
      </c>
      <c r="G1019" s="33"/>
      <c r="H1019" s="39">
        <f t="shared" si="110"/>
        <v>0</v>
      </c>
    </row>
    <row r="1020" ht="15.0" customHeight="1">
      <c r="A1020" s="35" t="s">
        <v>1232</v>
      </c>
      <c r="B1020" s="36" t="s">
        <v>1233</v>
      </c>
      <c r="C1020" s="37">
        <v>12.0</v>
      </c>
      <c r="D1020" s="30">
        <v>8.853662056012E12</v>
      </c>
      <c r="E1020" s="38">
        <v>3.59</v>
      </c>
      <c r="F1020" s="32">
        <v>43.08</v>
      </c>
      <c r="G1020" s="33"/>
      <c r="H1020" s="39">
        <f t="shared" si="110"/>
        <v>0</v>
      </c>
    </row>
    <row r="1021" ht="15.0" customHeight="1">
      <c r="A1021" s="35" t="s">
        <v>1234</v>
      </c>
      <c r="B1021" s="36" t="s">
        <v>1233</v>
      </c>
      <c r="C1021" s="37">
        <v>12.0</v>
      </c>
      <c r="D1021" s="30">
        <v>8.853662056661E12</v>
      </c>
      <c r="E1021" s="38">
        <v>3.69</v>
      </c>
      <c r="F1021" s="32">
        <v>44.28</v>
      </c>
      <c r="G1021" s="33"/>
      <c r="H1021" s="39">
        <f t="shared" si="110"/>
        <v>0</v>
      </c>
    </row>
    <row r="1022" ht="15.0" customHeight="1">
      <c r="A1022" s="27" t="s">
        <v>1235</v>
      </c>
      <c r="B1022" s="36"/>
      <c r="C1022" s="37"/>
      <c r="D1022" s="30"/>
      <c r="E1022" s="31"/>
      <c r="F1022" s="32"/>
      <c r="G1022" s="33"/>
      <c r="H1022" s="39"/>
    </row>
    <row r="1023" ht="15.0" customHeight="1">
      <c r="A1023" s="35" t="s">
        <v>1236</v>
      </c>
      <c r="B1023" s="36" t="s">
        <v>1237</v>
      </c>
      <c r="C1023" s="37">
        <v>24.0</v>
      </c>
      <c r="D1023" s="30">
        <v>6.922532828102E12</v>
      </c>
      <c r="E1023" s="38">
        <v>0.89</v>
      </c>
      <c r="F1023" s="32">
        <v>21.36</v>
      </c>
      <c r="G1023" s="33"/>
      <c r="H1023" s="39">
        <f t="shared" ref="H1023:H1026" si="111">G1023*F1023</f>
        <v>0</v>
      </c>
    </row>
    <row r="1024" ht="15.0" customHeight="1">
      <c r="A1024" s="35" t="s">
        <v>1238</v>
      </c>
      <c r="B1024" s="36" t="s">
        <v>1029</v>
      </c>
      <c r="C1024" s="37">
        <v>12.0</v>
      </c>
      <c r="D1024" s="30">
        <v>3.661945210045E12</v>
      </c>
      <c r="E1024" s="38">
        <v>1.59</v>
      </c>
      <c r="F1024" s="32">
        <v>19.08</v>
      </c>
      <c r="G1024" s="33"/>
      <c r="H1024" s="39">
        <f t="shared" si="111"/>
        <v>0</v>
      </c>
    </row>
    <row r="1025" ht="15.0" customHeight="1">
      <c r="A1025" s="35" t="s">
        <v>1239</v>
      </c>
      <c r="B1025" s="36" t="s">
        <v>1237</v>
      </c>
      <c r="C1025" s="37">
        <v>12.0</v>
      </c>
      <c r="D1025" s="30">
        <v>3.661945210083E12</v>
      </c>
      <c r="E1025" s="38">
        <v>1.09</v>
      </c>
      <c r="F1025" s="32">
        <v>13.08</v>
      </c>
      <c r="G1025" s="33"/>
      <c r="H1025" s="39">
        <f t="shared" si="111"/>
        <v>0</v>
      </c>
    </row>
    <row r="1026" ht="15.0" customHeight="1">
      <c r="A1026" s="35" t="s">
        <v>1240</v>
      </c>
      <c r="B1026" s="36" t="s">
        <v>1233</v>
      </c>
      <c r="C1026" s="37">
        <v>12.0</v>
      </c>
      <c r="D1026" s="30">
        <v>8.853095002181E12</v>
      </c>
      <c r="E1026" s="38">
        <v>1.95</v>
      </c>
      <c r="F1026" s="32">
        <v>23.4</v>
      </c>
      <c r="G1026" s="33"/>
      <c r="H1026" s="39">
        <f t="shared" si="111"/>
        <v>0</v>
      </c>
    </row>
    <row r="1027" ht="15.0" customHeight="1">
      <c r="A1027" s="27" t="s">
        <v>1241</v>
      </c>
      <c r="B1027" s="36"/>
      <c r="C1027" s="37"/>
      <c r="D1027" s="30"/>
      <c r="E1027" s="31"/>
      <c r="F1027" s="32"/>
      <c r="G1027" s="33"/>
      <c r="H1027" s="39"/>
    </row>
    <row r="1028" ht="15.0" customHeight="1">
      <c r="A1028" s="35" t="s">
        <v>1242</v>
      </c>
      <c r="B1028" s="36" t="s">
        <v>1237</v>
      </c>
      <c r="C1028" s="37">
        <v>12.0</v>
      </c>
      <c r="D1028" s="30">
        <v>8.715035110106E12</v>
      </c>
      <c r="E1028" s="38">
        <v>2.59</v>
      </c>
      <c r="F1028" s="32">
        <v>31.08</v>
      </c>
      <c r="G1028" s="33"/>
      <c r="H1028" s="39">
        <f t="shared" ref="H1028:H1029" si="112">G1028*F1028</f>
        <v>0</v>
      </c>
    </row>
    <row r="1029" ht="15.0" customHeight="1">
      <c r="A1029" s="35" t="s">
        <v>1243</v>
      </c>
      <c r="B1029" s="36" t="s">
        <v>1244</v>
      </c>
      <c r="C1029" s="37">
        <v>6.0</v>
      </c>
      <c r="D1029" s="30">
        <v>8.715035250307E12</v>
      </c>
      <c r="E1029" s="38">
        <v>3.15</v>
      </c>
      <c r="F1029" s="32">
        <v>18.9</v>
      </c>
      <c r="G1029" s="33"/>
      <c r="H1029" s="39">
        <f t="shared" si="112"/>
        <v>0</v>
      </c>
    </row>
    <row r="1030" ht="15.0" customHeight="1">
      <c r="A1030" s="27" t="s">
        <v>1245</v>
      </c>
      <c r="B1030" s="36"/>
      <c r="C1030" s="37"/>
      <c r="D1030" s="30"/>
      <c r="E1030" s="31"/>
      <c r="F1030" s="32"/>
      <c r="G1030" s="33"/>
      <c r="H1030" s="39"/>
    </row>
    <row r="1031" ht="15.0" customHeight="1">
      <c r="A1031" s="35" t="s">
        <v>1246</v>
      </c>
      <c r="B1031" s="36" t="s">
        <v>1247</v>
      </c>
      <c r="C1031" s="37">
        <v>24.0</v>
      </c>
      <c r="D1031" s="30">
        <v>8.801073411388E12</v>
      </c>
      <c r="E1031" s="38">
        <v>3.89</v>
      </c>
      <c r="F1031" s="32">
        <v>93.36</v>
      </c>
      <c r="G1031" s="33"/>
      <c r="H1031" s="39">
        <f t="shared" ref="H1031:H1033" si="113">G1031*F1031</f>
        <v>0</v>
      </c>
    </row>
    <row r="1032" ht="15.0" customHeight="1">
      <c r="A1032" s="35" t="s">
        <v>1248</v>
      </c>
      <c r="B1032" s="36" t="s">
        <v>1247</v>
      </c>
      <c r="C1032" s="37">
        <v>24.0</v>
      </c>
      <c r="D1032" s="30">
        <v>8.801073411395E12</v>
      </c>
      <c r="E1032" s="38">
        <v>3.89</v>
      </c>
      <c r="F1032" s="32">
        <v>93.36</v>
      </c>
      <c r="G1032" s="33"/>
      <c r="H1032" s="39">
        <f t="shared" si="113"/>
        <v>0</v>
      </c>
    </row>
    <row r="1033" ht="15.0" customHeight="1">
      <c r="A1033" s="49" t="s">
        <v>1249</v>
      </c>
      <c r="B1033" s="36" t="s">
        <v>1247</v>
      </c>
      <c r="C1033" s="82" t="s">
        <v>275</v>
      </c>
      <c r="D1033" s="142">
        <v>8.801073411913E12</v>
      </c>
      <c r="E1033" s="38">
        <v>3.89</v>
      </c>
      <c r="F1033" s="32">
        <v>93.36</v>
      </c>
      <c r="G1033" s="33"/>
      <c r="H1033" s="39">
        <f t="shared" si="113"/>
        <v>0</v>
      </c>
    </row>
    <row r="1034" ht="15.0" customHeight="1">
      <c r="A1034" s="27" t="s">
        <v>1250</v>
      </c>
      <c r="B1034" s="28"/>
      <c r="C1034" s="29"/>
      <c r="D1034" s="30"/>
      <c r="E1034" s="31"/>
      <c r="F1034" s="32"/>
      <c r="G1034" s="33"/>
      <c r="H1034" s="39"/>
    </row>
    <row r="1035" ht="15.0" customHeight="1">
      <c r="A1035" s="35" t="s">
        <v>1251</v>
      </c>
      <c r="B1035" s="36" t="s">
        <v>1252</v>
      </c>
      <c r="C1035" s="37">
        <v>12.0</v>
      </c>
      <c r="D1035" s="30">
        <v>4.713072179548E12</v>
      </c>
      <c r="E1035" s="38">
        <v>2.75</v>
      </c>
      <c r="F1035" s="32">
        <v>33.0</v>
      </c>
      <c r="G1035" s="33"/>
      <c r="H1035" s="39">
        <f t="shared" ref="H1035:H1044" si="114">G1035*F1035</f>
        <v>0</v>
      </c>
    </row>
    <row r="1036" ht="15.0" customHeight="1">
      <c r="A1036" s="35" t="s">
        <v>1253</v>
      </c>
      <c r="B1036" s="36" t="s">
        <v>1252</v>
      </c>
      <c r="C1036" s="37">
        <v>12.0</v>
      </c>
      <c r="D1036" s="30">
        <v>4.713072179531E12</v>
      </c>
      <c r="E1036" s="38">
        <v>2.75</v>
      </c>
      <c r="F1036" s="32">
        <v>33.0</v>
      </c>
      <c r="G1036" s="33"/>
      <c r="H1036" s="39">
        <f t="shared" si="114"/>
        <v>0</v>
      </c>
    </row>
    <row r="1037" ht="15.0" customHeight="1">
      <c r="A1037" s="35" t="s">
        <v>1254</v>
      </c>
      <c r="B1037" s="36" t="s">
        <v>1252</v>
      </c>
      <c r="C1037" s="37">
        <v>12.0</v>
      </c>
      <c r="D1037" s="30">
        <v>4.713072179562E12</v>
      </c>
      <c r="E1037" s="38">
        <v>2.75</v>
      </c>
      <c r="F1037" s="32">
        <v>33.0</v>
      </c>
      <c r="G1037" s="33"/>
      <c r="H1037" s="39">
        <f t="shared" si="114"/>
        <v>0</v>
      </c>
    </row>
    <row r="1038" ht="15.0" customHeight="1">
      <c r="A1038" s="35" t="s">
        <v>1255</v>
      </c>
      <c r="B1038" s="36" t="s">
        <v>1252</v>
      </c>
      <c r="C1038" s="37">
        <v>12.0</v>
      </c>
      <c r="D1038" s="30">
        <v>4.713072179555E12</v>
      </c>
      <c r="E1038" s="38">
        <v>2.75</v>
      </c>
      <c r="F1038" s="32">
        <v>33.0</v>
      </c>
      <c r="G1038" s="33"/>
      <c r="H1038" s="39">
        <f t="shared" si="114"/>
        <v>0</v>
      </c>
    </row>
    <row r="1039" ht="15.0" customHeight="1">
      <c r="A1039" s="35" t="s">
        <v>1256</v>
      </c>
      <c r="B1039" s="36" t="s">
        <v>1191</v>
      </c>
      <c r="C1039" s="37">
        <v>24.0</v>
      </c>
      <c r="D1039" s="30">
        <v>4.712905052409E12</v>
      </c>
      <c r="E1039" s="38">
        <v>2.25</v>
      </c>
      <c r="F1039" s="32">
        <v>54.0</v>
      </c>
      <c r="G1039" s="33"/>
      <c r="H1039" s="39">
        <f t="shared" si="114"/>
        <v>0</v>
      </c>
    </row>
    <row r="1040" ht="15.0" customHeight="1">
      <c r="A1040" s="35" t="s">
        <v>1257</v>
      </c>
      <c r="B1040" s="36" t="s">
        <v>1191</v>
      </c>
      <c r="C1040" s="37">
        <v>24.0</v>
      </c>
      <c r="D1040" s="30">
        <v>4.712905052393E12</v>
      </c>
      <c r="E1040" s="38">
        <v>2.25</v>
      </c>
      <c r="F1040" s="32">
        <v>54.0</v>
      </c>
      <c r="G1040" s="33"/>
      <c r="H1040" s="39">
        <f t="shared" si="114"/>
        <v>0</v>
      </c>
    </row>
    <row r="1041" ht="15.0" customHeight="1">
      <c r="A1041" s="35" t="s">
        <v>1258</v>
      </c>
      <c r="B1041" s="36" t="s">
        <v>1259</v>
      </c>
      <c r="C1041" s="37">
        <v>12.0</v>
      </c>
      <c r="D1041" s="30">
        <v>4.712905016036E12</v>
      </c>
      <c r="E1041" s="38">
        <v>2.65</v>
      </c>
      <c r="F1041" s="32">
        <v>31.8</v>
      </c>
      <c r="G1041" s="33"/>
      <c r="H1041" s="39">
        <f t="shared" si="114"/>
        <v>0</v>
      </c>
    </row>
    <row r="1042" ht="15.0" customHeight="1">
      <c r="A1042" s="35" t="s">
        <v>1260</v>
      </c>
      <c r="B1042" s="36" t="s">
        <v>1259</v>
      </c>
      <c r="C1042" s="37">
        <v>12.0</v>
      </c>
      <c r="D1042" s="30">
        <v>4.712905016043E12</v>
      </c>
      <c r="E1042" s="38">
        <v>2.65</v>
      </c>
      <c r="F1042" s="32">
        <v>31.8</v>
      </c>
      <c r="G1042" s="33"/>
      <c r="H1042" s="39">
        <f t="shared" si="114"/>
        <v>0</v>
      </c>
    </row>
    <row r="1043" ht="15.0" customHeight="1">
      <c r="A1043" s="35" t="s">
        <v>1261</v>
      </c>
      <c r="B1043" s="36" t="s">
        <v>1259</v>
      </c>
      <c r="C1043" s="37">
        <v>12.0</v>
      </c>
      <c r="D1043" s="30">
        <v>4.712905016081E12</v>
      </c>
      <c r="E1043" s="38">
        <v>2.65</v>
      </c>
      <c r="F1043" s="32">
        <v>31.8</v>
      </c>
      <c r="G1043" s="33"/>
      <c r="H1043" s="39">
        <f t="shared" si="114"/>
        <v>0</v>
      </c>
    </row>
    <row r="1044" ht="15.0" customHeight="1">
      <c r="A1044" s="35" t="s">
        <v>1262</v>
      </c>
      <c r="B1044" s="36" t="s">
        <v>1259</v>
      </c>
      <c r="C1044" s="37">
        <v>12.0</v>
      </c>
      <c r="D1044" s="30">
        <v>4.712905016067E12</v>
      </c>
      <c r="E1044" s="38">
        <v>2.65</v>
      </c>
      <c r="F1044" s="32">
        <v>31.8</v>
      </c>
      <c r="G1044" s="33"/>
      <c r="H1044" s="39">
        <f t="shared" si="114"/>
        <v>0</v>
      </c>
    </row>
    <row r="1045" ht="15.0" customHeight="1">
      <c r="A1045" s="27" t="s">
        <v>1263</v>
      </c>
      <c r="B1045" s="28"/>
      <c r="C1045" s="29"/>
      <c r="D1045" s="30"/>
      <c r="E1045" s="31"/>
      <c r="F1045" s="32"/>
      <c r="G1045" s="33"/>
      <c r="H1045" s="39"/>
    </row>
    <row r="1046" ht="15.0" customHeight="1">
      <c r="A1046" s="97" t="s">
        <v>1264</v>
      </c>
      <c r="B1046" s="54" t="s">
        <v>1265</v>
      </c>
      <c r="C1046" s="56">
        <v>12.0</v>
      </c>
      <c r="D1046" s="106">
        <v>5.000157024671E12</v>
      </c>
      <c r="E1046" s="55">
        <v>1.59</v>
      </c>
      <c r="F1046" s="32">
        <v>19.08</v>
      </c>
      <c r="G1046" s="33"/>
      <c r="H1046" s="39">
        <f t="shared" ref="H1046:H1053" si="115">G1046*F1046</f>
        <v>0</v>
      </c>
    </row>
    <row r="1047" ht="15.0" customHeight="1">
      <c r="A1047" s="97" t="s">
        <v>1266</v>
      </c>
      <c r="B1047" s="54" t="s">
        <v>1265</v>
      </c>
      <c r="C1047" s="56">
        <v>24.0</v>
      </c>
      <c r="D1047" s="106">
        <v>5.000157156044E12</v>
      </c>
      <c r="E1047" s="55">
        <v>2.99</v>
      </c>
      <c r="F1047" s="32">
        <v>71.76</v>
      </c>
      <c r="G1047" s="33"/>
      <c r="H1047" s="39">
        <f t="shared" si="115"/>
        <v>0</v>
      </c>
    </row>
    <row r="1048" ht="15.0" customHeight="1">
      <c r="A1048" s="97" t="s">
        <v>1267</v>
      </c>
      <c r="B1048" s="54" t="s">
        <v>1268</v>
      </c>
      <c r="C1048" s="56">
        <v>12.0</v>
      </c>
      <c r="D1048" s="106">
        <v>5.900783009106E12</v>
      </c>
      <c r="E1048" s="55">
        <v>2.99</v>
      </c>
      <c r="F1048" s="32">
        <v>35.88</v>
      </c>
      <c r="G1048" s="33"/>
      <c r="H1048" s="39">
        <f t="shared" si="115"/>
        <v>0</v>
      </c>
    </row>
    <row r="1049" ht="15.0" customHeight="1">
      <c r="A1049" s="43" t="s">
        <v>1269</v>
      </c>
      <c r="B1049" s="54" t="s">
        <v>1270</v>
      </c>
      <c r="C1049" s="56">
        <v>12.0</v>
      </c>
      <c r="D1049" s="106">
        <v>3.545360000958E12</v>
      </c>
      <c r="E1049" s="55">
        <v>1.45</v>
      </c>
      <c r="F1049" s="32">
        <v>17.4</v>
      </c>
      <c r="G1049" s="33"/>
      <c r="H1049" s="39">
        <f t="shared" si="115"/>
        <v>0</v>
      </c>
    </row>
    <row r="1050" ht="15.0" customHeight="1">
      <c r="A1050" s="143" t="s">
        <v>1271</v>
      </c>
      <c r="B1050" s="54" t="s">
        <v>1272</v>
      </c>
      <c r="C1050" s="56">
        <v>10.0</v>
      </c>
      <c r="D1050" s="106">
        <v>3.545360000583E12</v>
      </c>
      <c r="E1050" s="55">
        <v>1.65</v>
      </c>
      <c r="F1050" s="32">
        <v>16.5</v>
      </c>
      <c r="G1050" s="33"/>
      <c r="H1050" s="39">
        <f t="shared" si="115"/>
        <v>0</v>
      </c>
    </row>
    <row r="1051" ht="15.0" customHeight="1">
      <c r="A1051" s="143" t="s">
        <v>1273</v>
      </c>
      <c r="B1051" s="54" t="s">
        <v>1274</v>
      </c>
      <c r="C1051" s="56">
        <v>12.0</v>
      </c>
      <c r="D1051" s="106">
        <v>4.251097402888E12</v>
      </c>
      <c r="E1051" s="55">
        <v>1.95</v>
      </c>
      <c r="F1051" s="32">
        <v>23.4</v>
      </c>
      <c r="G1051" s="33"/>
      <c r="H1051" s="39">
        <f t="shared" si="115"/>
        <v>0</v>
      </c>
    </row>
    <row r="1052" ht="15.0" customHeight="1">
      <c r="A1052" s="143" t="s">
        <v>1275</v>
      </c>
      <c r="B1052" s="54" t="s">
        <v>1274</v>
      </c>
      <c r="C1052" s="56">
        <v>12.0</v>
      </c>
      <c r="D1052" s="106">
        <v>4.251097402918E12</v>
      </c>
      <c r="E1052" s="55">
        <v>1.95</v>
      </c>
      <c r="F1052" s="32">
        <v>23.4</v>
      </c>
      <c r="G1052" s="33"/>
      <c r="H1052" s="39">
        <f t="shared" si="115"/>
        <v>0</v>
      </c>
    </row>
    <row r="1053" ht="15.0" customHeight="1">
      <c r="A1053" s="144" t="s">
        <v>1276</v>
      </c>
      <c r="B1053" s="54" t="s">
        <v>1274</v>
      </c>
      <c r="C1053" s="56">
        <v>12.0</v>
      </c>
      <c r="D1053" s="106">
        <v>4.25109740297E12</v>
      </c>
      <c r="E1053" s="55">
        <v>1.95</v>
      </c>
      <c r="F1053" s="32">
        <v>23.4</v>
      </c>
      <c r="G1053" s="33"/>
      <c r="H1053" s="39">
        <f t="shared" si="115"/>
        <v>0</v>
      </c>
    </row>
    <row r="1054" ht="15.0" customHeight="1">
      <c r="A1054" s="27" t="s">
        <v>1277</v>
      </c>
      <c r="B1054" s="28"/>
      <c r="C1054" s="29"/>
      <c r="D1054" s="30"/>
      <c r="E1054" s="31"/>
      <c r="F1054" s="32"/>
      <c r="G1054" s="33"/>
      <c r="H1054" s="39"/>
    </row>
    <row r="1055" ht="15.0" customHeight="1">
      <c r="A1055" s="49" t="s">
        <v>1278</v>
      </c>
      <c r="B1055" s="36" t="s">
        <v>1279</v>
      </c>
      <c r="C1055" s="145">
        <v>40.0</v>
      </c>
      <c r="D1055" s="47" t="s">
        <v>1280</v>
      </c>
      <c r="E1055" s="55">
        <v>1.1</v>
      </c>
      <c r="F1055" s="32">
        <v>44.0</v>
      </c>
      <c r="G1055" s="33"/>
      <c r="H1055" s="39">
        <f t="shared" ref="H1055:H1057" si="116">G1055*F1055</f>
        <v>0</v>
      </c>
    </row>
    <row r="1056" ht="15.0" customHeight="1">
      <c r="A1056" s="49" t="s">
        <v>1281</v>
      </c>
      <c r="B1056" s="36" t="s">
        <v>1279</v>
      </c>
      <c r="C1056" s="145">
        <v>40.0</v>
      </c>
      <c r="D1056" s="146" t="s">
        <v>1282</v>
      </c>
      <c r="E1056" s="55">
        <v>1.1</v>
      </c>
      <c r="F1056" s="32">
        <v>44.0</v>
      </c>
      <c r="G1056" s="33"/>
      <c r="H1056" s="39">
        <f t="shared" si="116"/>
        <v>0</v>
      </c>
    </row>
    <row r="1057" ht="15.0" customHeight="1">
      <c r="A1057" s="49" t="s">
        <v>1283</v>
      </c>
      <c r="B1057" s="36" t="s">
        <v>1284</v>
      </c>
      <c r="C1057" s="145">
        <v>24.0</v>
      </c>
      <c r="D1057" s="146" t="s">
        <v>1285</v>
      </c>
      <c r="E1057" s="55">
        <v>1.3</v>
      </c>
      <c r="F1057" s="32">
        <v>31.2</v>
      </c>
      <c r="G1057" s="33"/>
      <c r="H1057" s="39">
        <f t="shared" si="116"/>
        <v>0</v>
      </c>
    </row>
    <row r="1058" ht="15.0" customHeight="1">
      <c r="A1058" s="27" t="s">
        <v>1286</v>
      </c>
      <c r="B1058" s="28"/>
      <c r="C1058" s="29"/>
      <c r="D1058" s="30"/>
      <c r="E1058" s="31"/>
      <c r="F1058" s="32"/>
      <c r="G1058" s="33"/>
      <c r="H1058" s="39"/>
    </row>
    <row r="1059" ht="15.0" customHeight="1">
      <c r="A1059" s="35" t="s">
        <v>1287</v>
      </c>
      <c r="B1059" s="36" t="s">
        <v>1288</v>
      </c>
      <c r="C1059" s="37">
        <v>20.0</v>
      </c>
      <c r="D1059" s="30">
        <v>8.005709204034E12</v>
      </c>
      <c r="E1059" s="38">
        <v>1.45</v>
      </c>
      <c r="F1059" s="32">
        <v>29.0</v>
      </c>
      <c r="G1059" s="33"/>
      <c r="H1059" s="39">
        <f t="shared" ref="H1059:H1064" si="117">G1059*F1059</f>
        <v>0</v>
      </c>
    </row>
    <row r="1060" ht="15.0" customHeight="1">
      <c r="A1060" s="35" t="s">
        <v>1289</v>
      </c>
      <c r="B1060" s="36" t="s">
        <v>1288</v>
      </c>
      <c r="C1060" s="37">
        <v>20.0</v>
      </c>
      <c r="D1060" s="30">
        <v>8.005709204041E12</v>
      </c>
      <c r="E1060" s="38">
        <v>1.45</v>
      </c>
      <c r="F1060" s="32">
        <v>29.0</v>
      </c>
      <c r="G1060" s="33"/>
      <c r="H1060" s="39">
        <f t="shared" si="117"/>
        <v>0</v>
      </c>
    </row>
    <row r="1061" ht="15.0" customHeight="1">
      <c r="A1061" s="35" t="s">
        <v>1290</v>
      </c>
      <c r="B1061" s="36" t="s">
        <v>1288</v>
      </c>
      <c r="C1061" s="37">
        <v>12.0</v>
      </c>
      <c r="D1061" s="30">
        <v>8.005709204959E12</v>
      </c>
      <c r="E1061" s="38">
        <v>1.55</v>
      </c>
      <c r="F1061" s="32">
        <v>18.6</v>
      </c>
      <c r="G1061" s="33"/>
      <c r="H1061" s="39">
        <f t="shared" si="117"/>
        <v>0</v>
      </c>
    </row>
    <row r="1062" ht="15.0" customHeight="1">
      <c r="A1062" s="35" t="s">
        <v>1291</v>
      </c>
      <c r="B1062" s="36" t="s">
        <v>1288</v>
      </c>
      <c r="C1062" s="37">
        <v>8.0</v>
      </c>
      <c r="D1062" s="30">
        <v>8.005709204805E12</v>
      </c>
      <c r="E1062" s="38">
        <v>1.55</v>
      </c>
      <c r="F1062" s="32">
        <v>12.4</v>
      </c>
      <c r="G1062" s="33"/>
      <c r="H1062" s="39">
        <f t="shared" si="117"/>
        <v>0</v>
      </c>
    </row>
    <row r="1063" ht="15.0" customHeight="1">
      <c r="A1063" s="35" t="s">
        <v>1292</v>
      </c>
      <c r="B1063" s="36" t="s">
        <v>1288</v>
      </c>
      <c r="C1063" s="37">
        <v>12.0</v>
      </c>
      <c r="D1063" s="30">
        <v>8.005709204812E12</v>
      </c>
      <c r="E1063" s="38">
        <v>1.55</v>
      </c>
      <c r="F1063" s="32">
        <v>18.6</v>
      </c>
      <c r="G1063" s="33"/>
      <c r="H1063" s="39">
        <f t="shared" si="117"/>
        <v>0</v>
      </c>
    </row>
    <row r="1064" ht="15.0" customHeight="1">
      <c r="A1064" s="35" t="s">
        <v>1293</v>
      </c>
      <c r="B1064" s="36" t="s">
        <v>1288</v>
      </c>
      <c r="C1064" s="37">
        <v>12.0</v>
      </c>
      <c r="D1064" s="30">
        <v>8.005709201101E12</v>
      </c>
      <c r="E1064" s="38">
        <v>1.55</v>
      </c>
      <c r="F1064" s="32">
        <v>18.6</v>
      </c>
      <c r="G1064" s="33"/>
      <c r="H1064" s="39">
        <f t="shared" si="117"/>
        <v>0</v>
      </c>
    </row>
    <row r="1065" ht="15.0" customHeight="1">
      <c r="A1065" s="35" t="s">
        <v>1294</v>
      </c>
      <c r="B1065" s="36" t="s">
        <v>1059</v>
      </c>
      <c r="C1065" s="37">
        <v>1.0</v>
      </c>
      <c r="D1065" s="30" t="s">
        <v>1059</v>
      </c>
      <c r="E1065" s="31"/>
      <c r="F1065" s="32"/>
      <c r="G1065" s="33"/>
      <c r="H1065" s="39"/>
    </row>
    <row r="1066" ht="15.0" customHeight="1">
      <c r="A1066" s="27" t="s">
        <v>1295</v>
      </c>
      <c r="B1066" s="28"/>
      <c r="C1066" s="29"/>
      <c r="D1066" s="30"/>
      <c r="E1066" s="31"/>
      <c r="F1066" s="32"/>
      <c r="G1066" s="33"/>
      <c r="H1066" s="39"/>
    </row>
    <row r="1067" ht="15.0" customHeight="1">
      <c r="A1067" s="35" t="s">
        <v>1296</v>
      </c>
      <c r="B1067" s="36" t="s">
        <v>1272</v>
      </c>
      <c r="C1067" s="37">
        <v>14.0</v>
      </c>
      <c r="D1067" s="30">
        <v>3.800205872948E12</v>
      </c>
      <c r="E1067" s="38">
        <v>1.5</v>
      </c>
      <c r="F1067" s="32">
        <v>21.0</v>
      </c>
      <c r="G1067" s="33"/>
      <c r="H1067" s="39">
        <f t="shared" ref="H1067:H1070" si="118">G1067*F1067</f>
        <v>0</v>
      </c>
    </row>
    <row r="1068" ht="15.0" customHeight="1">
      <c r="A1068" s="35" t="s">
        <v>1297</v>
      </c>
      <c r="B1068" s="36" t="s">
        <v>1272</v>
      </c>
      <c r="C1068" s="37">
        <v>14.0</v>
      </c>
      <c r="D1068" s="30">
        <v>3.800205872962E12</v>
      </c>
      <c r="E1068" s="38">
        <v>1.5</v>
      </c>
      <c r="F1068" s="32">
        <v>21.0</v>
      </c>
      <c r="G1068" s="33"/>
      <c r="H1068" s="39">
        <f t="shared" si="118"/>
        <v>0</v>
      </c>
    </row>
    <row r="1069" ht="15.0" customHeight="1">
      <c r="A1069" s="35" t="s">
        <v>1298</v>
      </c>
      <c r="B1069" s="36" t="s">
        <v>1272</v>
      </c>
      <c r="C1069" s="37">
        <v>14.0</v>
      </c>
      <c r="D1069" s="30">
        <v>3.800205877967E12</v>
      </c>
      <c r="E1069" s="38">
        <v>1.5</v>
      </c>
      <c r="F1069" s="32">
        <v>21.0</v>
      </c>
      <c r="G1069" s="33"/>
      <c r="H1069" s="39">
        <f t="shared" si="118"/>
        <v>0</v>
      </c>
    </row>
    <row r="1070" ht="15.0" customHeight="1">
      <c r="A1070" s="147" t="s">
        <v>1299</v>
      </c>
      <c r="B1070" s="148"/>
      <c r="C1070" s="149"/>
      <c r="D1070" s="150"/>
      <c r="E1070" s="23"/>
      <c r="F1070" s="24"/>
      <c r="G1070" s="25"/>
      <c r="H1070" s="68">
        <f t="shared" si="118"/>
        <v>0</v>
      </c>
    </row>
    <row r="1071" ht="15.0" customHeight="1">
      <c r="A1071" s="27" t="s">
        <v>1300</v>
      </c>
      <c r="B1071" s="28"/>
      <c r="C1071" s="29"/>
      <c r="D1071" s="30"/>
      <c r="E1071" s="31"/>
      <c r="F1071" s="32"/>
      <c r="G1071" s="33"/>
      <c r="H1071" s="39"/>
    </row>
    <row r="1072" ht="15.0" customHeight="1">
      <c r="A1072" s="27" t="s">
        <v>1301</v>
      </c>
      <c r="B1072" s="28"/>
      <c r="C1072" s="29"/>
      <c r="D1072" s="30"/>
      <c r="E1072" s="31"/>
      <c r="F1072" s="32"/>
      <c r="G1072" s="33"/>
      <c r="H1072" s="39">
        <f t="shared" ref="H1072:H1075" si="119">G1072*F1072</f>
        <v>0</v>
      </c>
    </row>
    <row r="1073" ht="15.0" customHeight="1">
      <c r="A1073" s="35" t="s">
        <v>1302</v>
      </c>
      <c r="B1073" s="36" t="s">
        <v>1303</v>
      </c>
      <c r="C1073" s="37">
        <v>6.0</v>
      </c>
      <c r="D1073" s="30">
        <v>3.760317581179E12</v>
      </c>
      <c r="E1073" s="38">
        <v>7.5</v>
      </c>
      <c r="F1073" s="32">
        <v>45.0</v>
      </c>
      <c r="G1073" s="33"/>
      <c r="H1073" s="39">
        <f t="shared" si="119"/>
        <v>0</v>
      </c>
    </row>
    <row r="1074" ht="15.0" customHeight="1">
      <c r="A1074" s="44" t="s">
        <v>1304</v>
      </c>
      <c r="B1074" s="36" t="s">
        <v>1305</v>
      </c>
      <c r="C1074" s="37">
        <v>12.0</v>
      </c>
      <c r="D1074" s="30">
        <v>3.770038398024E12</v>
      </c>
      <c r="E1074" s="38">
        <v>4.9</v>
      </c>
      <c r="F1074" s="32">
        <f t="shared" ref="F1074:F1075" si="120">E1074*C1074</f>
        <v>58.8</v>
      </c>
      <c r="G1074" s="33"/>
      <c r="H1074" s="39">
        <f t="shared" si="119"/>
        <v>0</v>
      </c>
    </row>
    <row r="1075" ht="15.0" customHeight="1">
      <c r="A1075" s="44" t="s">
        <v>1306</v>
      </c>
      <c r="B1075" s="36" t="s">
        <v>1305</v>
      </c>
      <c r="C1075" s="37">
        <v>12.0</v>
      </c>
      <c r="D1075" s="30">
        <v>3.770038398031E12</v>
      </c>
      <c r="E1075" s="38">
        <v>4.9</v>
      </c>
      <c r="F1075" s="32">
        <f t="shared" si="120"/>
        <v>58.8</v>
      </c>
      <c r="G1075" s="33"/>
      <c r="H1075" s="39">
        <f t="shared" si="119"/>
        <v>0</v>
      </c>
    </row>
    <row r="1076" ht="15.0" customHeight="1">
      <c r="A1076" s="27" t="s">
        <v>1307</v>
      </c>
      <c r="B1076" s="28"/>
      <c r="C1076" s="29"/>
      <c r="D1076" s="30"/>
      <c r="E1076" s="38"/>
      <c r="F1076" s="32"/>
      <c r="G1076" s="33"/>
      <c r="H1076" s="39"/>
    </row>
    <row r="1077" ht="15.0" customHeight="1">
      <c r="A1077" s="44" t="s">
        <v>1308</v>
      </c>
      <c r="B1077" s="36" t="s">
        <v>1309</v>
      </c>
      <c r="C1077" s="37">
        <v>15.0</v>
      </c>
      <c r="D1077" s="30">
        <v>3.770034105046E12</v>
      </c>
      <c r="E1077" s="38">
        <v>4.35</v>
      </c>
      <c r="F1077" s="32">
        <f t="shared" ref="F1077:F1078" si="121">E1077*C1077</f>
        <v>65.25</v>
      </c>
      <c r="G1077" s="33"/>
      <c r="H1077" s="39">
        <f t="shared" ref="H1077:H1078" si="122">G1077*F1077</f>
        <v>0</v>
      </c>
    </row>
    <row r="1078" ht="15.0" customHeight="1">
      <c r="A1078" s="44" t="s">
        <v>1310</v>
      </c>
      <c r="B1078" s="36" t="s">
        <v>1311</v>
      </c>
      <c r="C1078" s="37">
        <v>12.0</v>
      </c>
      <c r="D1078" s="30">
        <v>3.770034105039E12</v>
      </c>
      <c r="E1078" s="38">
        <v>1.15</v>
      </c>
      <c r="F1078" s="32">
        <f t="shared" si="121"/>
        <v>13.8</v>
      </c>
      <c r="G1078" s="33"/>
      <c r="H1078" s="39">
        <f t="shared" si="122"/>
        <v>0</v>
      </c>
    </row>
    <row r="1079" ht="15.0" customHeight="1">
      <c r="A1079" s="27" t="s">
        <v>1312</v>
      </c>
      <c r="B1079" s="28"/>
      <c r="C1079" s="29"/>
      <c r="D1079" s="30"/>
      <c r="E1079" s="31"/>
      <c r="F1079" s="32"/>
      <c r="G1079" s="33"/>
      <c r="H1079" s="39"/>
    </row>
    <row r="1080" ht="15.0" customHeight="1">
      <c r="A1080" s="35" t="s">
        <v>1313</v>
      </c>
      <c r="B1080" s="36" t="s">
        <v>1305</v>
      </c>
      <c r="C1080" s="37">
        <v>12.0</v>
      </c>
      <c r="D1080" s="30">
        <v>3.760411270047E12</v>
      </c>
      <c r="E1080" s="38">
        <v>2.75</v>
      </c>
      <c r="F1080" s="32">
        <v>33.0</v>
      </c>
      <c r="G1080" s="33"/>
      <c r="H1080" s="39">
        <f t="shared" ref="H1080:H1083" si="123">G1080*F1080</f>
        <v>0</v>
      </c>
    </row>
    <row r="1081" ht="15.0" customHeight="1">
      <c r="A1081" s="35" t="s">
        <v>1314</v>
      </c>
      <c r="B1081" s="36" t="s">
        <v>1305</v>
      </c>
      <c r="C1081" s="37">
        <v>12.0</v>
      </c>
      <c r="D1081" s="30">
        <v>3.76041127003E12</v>
      </c>
      <c r="E1081" s="38">
        <v>2.75</v>
      </c>
      <c r="F1081" s="32">
        <v>33.0</v>
      </c>
      <c r="G1081" s="33"/>
      <c r="H1081" s="39">
        <f t="shared" si="123"/>
        <v>0</v>
      </c>
    </row>
    <row r="1082" ht="15.0" customHeight="1">
      <c r="A1082" s="35" t="s">
        <v>1315</v>
      </c>
      <c r="B1082" s="36" t="s">
        <v>1305</v>
      </c>
      <c r="C1082" s="37">
        <v>12.0</v>
      </c>
      <c r="D1082" s="30">
        <v>3.760411270023E12</v>
      </c>
      <c r="E1082" s="38">
        <v>3.95</v>
      </c>
      <c r="F1082" s="32">
        <v>47.4</v>
      </c>
      <c r="G1082" s="33"/>
      <c r="H1082" s="39">
        <f t="shared" si="123"/>
        <v>0</v>
      </c>
    </row>
    <row r="1083" ht="15.0" customHeight="1">
      <c r="A1083" s="35" t="s">
        <v>1316</v>
      </c>
      <c r="B1083" s="36" t="s">
        <v>1305</v>
      </c>
      <c r="C1083" s="37">
        <v>12.0</v>
      </c>
      <c r="D1083" s="30">
        <v>3.760411270016E12</v>
      </c>
      <c r="E1083" s="38">
        <v>3.15</v>
      </c>
      <c r="F1083" s="32">
        <v>37.8</v>
      </c>
      <c r="G1083" s="33"/>
      <c r="H1083" s="39">
        <f t="shared" si="123"/>
        <v>0</v>
      </c>
    </row>
    <row r="1084" ht="15.0" customHeight="1">
      <c r="A1084" s="27" t="s">
        <v>1317</v>
      </c>
      <c r="B1084" s="28"/>
      <c r="C1084" s="29"/>
      <c r="D1084" s="30"/>
      <c r="E1084" s="31"/>
      <c r="F1084" s="32"/>
      <c r="G1084" s="33"/>
      <c r="H1084" s="39"/>
    </row>
    <row r="1085" ht="15.0" customHeight="1">
      <c r="A1085" s="97" t="s">
        <v>1318</v>
      </c>
      <c r="B1085" s="54" t="s">
        <v>1319</v>
      </c>
      <c r="C1085" s="56">
        <v>12.0</v>
      </c>
      <c r="D1085" s="106">
        <v>3.545360000781E12</v>
      </c>
      <c r="E1085" s="55">
        <v>2.85</v>
      </c>
      <c r="F1085" s="59">
        <v>34.2</v>
      </c>
      <c r="G1085" s="33"/>
      <c r="H1085" s="39">
        <f t="shared" ref="H1085:H1086" si="124">G1085*F1085</f>
        <v>0</v>
      </c>
    </row>
    <row r="1086" ht="15.0" customHeight="1">
      <c r="A1086" s="97" t="s">
        <v>1320</v>
      </c>
      <c r="B1086" s="54" t="s">
        <v>1319</v>
      </c>
      <c r="C1086" s="56">
        <v>12.0</v>
      </c>
      <c r="D1086" s="106">
        <v>3.545360000798E12</v>
      </c>
      <c r="E1086" s="55">
        <v>2.85</v>
      </c>
      <c r="F1086" s="59">
        <v>34.2</v>
      </c>
      <c r="G1086" s="33"/>
      <c r="H1086" s="39">
        <f t="shared" si="124"/>
        <v>0</v>
      </c>
    </row>
    <row r="1087" ht="15.0" customHeight="1">
      <c r="A1087" s="27" t="s">
        <v>1321</v>
      </c>
      <c r="B1087" s="54"/>
      <c r="C1087" s="56"/>
      <c r="D1087" s="47"/>
      <c r="E1087" s="31"/>
      <c r="F1087" s="59"/>
      <c r="G1087" s="33"/>
      <c r="H1087" s="39"/>
    </row>
    <row r="1088" ht="15.0" customHeight="1">
      <c r="A1088" s="97" t="s">
        <v>1322</v>
      </c>
      <c r="B1088" s="54" t="s">
        <v>1323</v>
      </c>
      <c r="C1088" s="56">
        <v>12.0</v>
      </c>
      <c r="D1088" s="106" t="s">
        <v>1324</v>
      </c>
      <c r="E1088" s="55">
        <v>2.9</v>
      </c>
      <c r="F1088" s="59">
        <v>34.8</v>
      </c>
      <c r="G1088" s="33"/>
      <c r="H1088" s="39">
        <f t="shared" ref="H1088:H1090" si="125">G1088*F1088</f>
        <v>0</v>
      </c>
    </row>
    <row r="1089" ht="15.0" customHeight="1">
      <c r="A1089" s="97" t="s">
        <v>1325</v>
      </c>
      <c r="B1089" s="54" t="s">
        <v>1323</v>
      </c>
      <c r="C1089" s="56">
        <v>12.0</v>
      </c>
      <c r="D1089" s="106" t="s">
        <v>1326</v>
      </c>
      <c r="E1089" s="55">
        <v>2.9</v>
      </c>
      <c r="F1089" s="59">
        <v>34.8</v>
      </c>
      <c r="G1089" s="33"/>
      <c r="H1089" s="39">
        <f t="shared" si="125"/>
        <v>0</v>
      </c>
    </row>
    <row r="1090" ht="15.0" customHeight="1">
      <c r="A1090" s="97" t="s">
        <v>1327</v>
      </c>
      <c r="B1090" s="54" t="s">
        <v>1323</v>
      </c>
      <c r="C1090" s="56">
        <v>12.0</v>
      </c>
      <c r="D1090" s="106" t="s">
        <v>1328</v>
      </c>
      <c r="E1090" s="55">
        <v>2.9</v>
      </c>
      <c r="F1090" s="59">
        <v>34.8</v>
      </c>
      <c r="G1090" s="33"/>
      <c r="H1090" s="39">
        <f t="shared" si="125"/>
        <v>0</v>
      </c>
    </row>
    <row r="1091" ht="15.0" customHeight="1">
      <c r="A1091" s="27" t="s">
        <v>1329</v>
      </c>
      <c r="B1091" s="105"/>
      <c r="C1091" s="56"/>
      <c r="D1091" s="47"/>
      <c r="E1091" s="31"/>
      <c r="F1091" s="59"/>
      <c r="G1091" s="33"/>
      <c r="H1091" s="39"/>
    </row>
    <row r="1092" ht="15.0" customHeight="1">
      <c r="A1092" s="97" t="s">
        <v>1330</v>
      </c>
      <c r="B1092" s="105" t="s">
        <v>1237</v>
      </c>
      <c r="C1092" s="56">
        <v>20.0</v>
      </c>
      <c r="D1092" s="106">
        <v>3.760376696609E12</v>
      </c>
      <c r="E1092" s="55">
        <v>3.25</v>
      </c>
      <c r="F1092" s="59">
        <f t="shared" ref="F1092:F1096" si="126">E1092*C1092</f>
        <v>65</v>
      </c>
      <c r="G1092" s="33"/>
      <c r="H1092" s="39">
        <f t="shared" ref="H1092:H1096" si="127">G1092*F1092</f>
        <v>0</v>
      </c>
    </row>
    <row r="1093" ht="15.0" customHeight="1">
      <c r="A1093" s="97" t="s">
        <v>1331</v>
      </c>
      <c r="B1093" s="105" t="s">
        <v>1237</v>
      </c>
      <c r="C1093" s="56">
        <v>20.0</v>
      </c>
      <c r="D1093" s="106">
        <v>3.760376696654E12</v>
      </c>
      <c r="E1093" s="55">
        <v>3.25</v>
      </c>
      <c r="F1093" s="59">
        <f t="shared" si="126"/>
        <v>65</v>
      </c>
      <c r="G1093" s="33"/>
      <c r="H1093" s="39">
        <f t="shared" si="127"/>
        <v>0</v>
      </c>
    </row>
    <row r="1094" ht="15.0" customHeight="1">
      <c r="A1094" s="97" t="s">
        <v>1332</v>
      </c>
      <c r="B1094" s="105" t="s">
        <v>1237</v>
      </c>
      <c r="C1094" s="56">
        <v>20.0</v>
      </c>
      <c r="D1094" s="106">
        <v>3.760376696616E12</v>
      </c>
      <c r="E1094" s="55">
        <v>3.25</v>
      </c>
      <c r="F1094" s="59">
        <f t="shared" si="126"/>
        <v>65</v>
      </c>
      <c r="G1094" s="33"/>
      <c r="H1094" s="39">
        <f t="shared" si="127"/>
        <v>0</v>
      </c>
    </row>
    <row r="1095" ht="15.0" customHeight="1">
      <c r="A1095" s="97" t="s">
        <v>1333</v>
      </c>
      <c r="B1095" s="105" t="s">
        <v>1237</v>
      </c>
      <c r="C1095" s="56">
        <v>20.0</v>
      </c>
      <c r="D1095" s="106">
        <v>3.760376696678E12</v>
      </c>
      <c r="E1095" s="55">
        <v>3.25</v>
      </c>
      <c r="F1095" s="59">
        <f t="shared" si="126"/>
        <v>65</v>
      </c>
      <c r="G1095" s="33"/>
      <c r="H1095" s="39">
        <f t="shared" si="127"/>
        <v>0</v>
      </c>
    </row>
    <row r="1096" ht="15.0" customHeight="1">
      <c r="A1096" s="97" t="s">
        <v>1334</v>
      </c>
      <c r="B1096" s="105" t="s">
        <v>1237</v>
      </c>
      <c r="C1096" s="56">
        <v>20.0</v>
      </c>
      <c r="D1096" s="106">
        <v>3.760376696661E12</v>
      </c>
      <c r="E1096" s="55">
        <v>4.25</v>
      </c>
      <c r="F1096" s="59">
        <f t="shared" si="126"/>
        <v>85</v>
      </c>
      <c r="G1096" s="33"/>
      <c r="H1096" s="39">
        <f t="shared" si="127"/>
        <v>0</v>
      </c>
    </row>
    <row r="1097" ht="15.0" customHeight="1">
      <c r="A1097" s="151" t="s">
        <v>1335</v>
      </c>
      <c r="B1097" s="152"/>
      <c r="C1097" s="153"/>
      <c r="D1097" s="154"/>
      <c r="E1097" s="31"/>
      <c r="F1097" s="155"/>
      <c r="G1097" s="115"/>
      <c r="H1097" s="116"/>
    </row>
    <row r="1098" ht="15.0" customHeight="1">
      <c r="A1098" s="35" t="s">
        <v>1336</v>
      </c>
      <c r="B1098" s="36" t="s">
        <v>1161</v>
      </c>
      <c r="C1098" s="37">
        <v>40.0</v>
      </c>
      <c r="D1098" s="30">
        <v>8.683280725485E12</v>
      </c>
      <c r="E1098" s="38">
        <v>6.5</v>
      </c>
      <c r="F1098" s="32">
        <f t="shared" ref="F1098:F1100" si="128">E1098*C1098</f>
        <v>260</v>
      </c>
      <c r="G1098" s="33"/>
      <c r="H1098" s="39">
        <f t="shared" ref="H1098:H1108" si="129">G1098*F1098</f>
        <v>0</v>
      </c>
    </row>
    <row r="1099" ht="15.0" customHeight="1">
      <c r="A1099" s="35" t="s">
        <v>1337</v>
      </c>
      <c r="B1099" s="36" t="s">
        <v>1161</v>
      </c>
      <c r="C1099" s="37">
        <v>40.0</v>
      </c>
      <c r="D1099" s="30">
        <v>8.683280725461E12</v>
      </c>
      <c r="E1099" s="38">
        <v>6.5</v>
      </c>
      <c r="F1099" s="32">
        <f t="shared" si="128"/>
        <v>260</v>
      </c>
      <c r="G1099" s="33"/>
      <c r="H1099" s="39">
        <f t="shared" si="129"/>
        <v>0</v>
      </c>
    </row>
    <row r="1100" ht="17.25" customHeight="1">
      <c r="A1100" s="35" t="s">
        <v>1338</v>
      </c>
      <c r="B1100" s="36" t="s">
        <v>1161</v>
      </c>
      <c r="C1100" s="37">
        <v>40.0</v>
      </c>
      <c r="D1100" s="30">
        <v>8.683280725409E12</v>
      </c>
      <c r="E1100" s="38">
        <v>6.5</v>
      </c>
      <c r="F1100" s="32">
        <f t="shared" si="128"/>
        <v>260</v>
      </c>
      <c r="G1100" s="33"/>
      <c r="H1100" s="39">
        <f t="shared" si="129"/>
        <v>0</v>
      </c>
    </row>
    <row r="1101" ht="15.0" customHeight="1">
      <c r="A1101" s="49" t="s">
        <v>1339</v>
      </c>
      <c r="B1101" s="54" t="s">
        <v>1107</v>
      </c>
      <c r="C1101" s="56">
        <v>12.0</v>
      </c>
      <c r="D1101" s="71"/>
      <c r="E1101" s="55">
        <v>3.75</v>
      </c>
      <c r="F1101" s="59">
        <v>45.0</v>
      </c>
      <c r="G1101" s="33"/>
      <c r="H1101" s="39">
        <f t="shared" si="129"/>
        <v>0</v>
      </c>
    </row>
    <row r="1102" ht="15.0" customHeight="1">
      <c r="A1102" s="48" t="s">
        <v>1340</v>
      </c>
      <c r="B1102" s="54">
        <v>75.0</v>
      </c>
      <c r="C1102" s="56">
        <v>24.0</v>
      </c>
      <c r="D1102" s="47" t="s">
        <v>1341</v>
      </c>
      <c r="E1102" s="55">
        <v>1.15</v>
      </c>
      <c r="F1102" s="59">
        <v>27.6</v>
      </c>
      <c r="G1102" s="33"/>
      <c r="H1102" s="39">
        <f t="shared" si="129"/>
        <v>0</v>
      </c>
    </row>
    <row r="1103" ht="15.0" customHeight="1">
      <c r="A1103" s="48" t="s">
        <v>1342</v>
      </c>
      <c r="B1103" s="54" t="s">
        <v>1305</v>
      </c>
      <c r="C1103" s="56">
        <v>15.0</v>
      </c>
      <c r="D1103" s="47" t="s">
        <v>1343</v>
      </c>
      <c r="E1103" s="55">
        <v>2.2</v>
      </c>
      <c r="F1103" s="59">
        <v>33.0</v>
      </c>
      <c r="G1103" s="33"/>
      <c r="H1103" s="39">
        <f t="shared" si="129"/>
        <v>0</v>
      </c>
    </row>
    <row r="1104" ht="15.0" customHeight="1">
      <c r="A1104" s="48" t="s">
        <v>1344</v>
      </c>
      <c r="B1104" s="54" t="s">
        <v>1062</v>
      </c>
      <c r="C1104" s="56">
        <v>30.0</v>
      </c>
      <c r="D1104" s="47" t="s">
        <v>1345</v>
      </c>
      <c r="E1104" s="55">
        <v>2.05</v>
      </c>
      <c r="F1104" s="59">
        <v>61.5</v>
      </c>
      <c r="G1104" s="33"/>
      <c r="H1104" s="39">
        <f t="shared" si="129"/>
        <v>0</v>
      </c>
    </row>
    <row r="1105" ht="15.0" customHeight="1">
      <c r="A1105" s="48" t="s">
        <v>1346</v>
      </c>
      <c r="B1105" s="54" t="s">
        <v>1347</v>
      </c>
      <c r="C1105" s="56">
        <v>36.0</v>
      </c>
      <c r="D1105" s="47" t="s">
        <v>1348</v>
      </c>
      <c r="E1105" s="55">
        <v>0.55</v>
      </c>
      <c r="F1105" s="59">
        <v>19.8</v>
      </c>
      <c r="G1105" s="33"/>
      <c r="H1105" s="39">
        <f t="shared" si="129"/>
        <v>0</v>
      </c>
    </row>
    <row r="1106" ht="15.0" customHeight="1">
      <c r="A1106" s="48" t="s">
        <v>1349</v>
      </c>
      <c r="B1106" s="54" t="s">
        <v>1350</v>
      </c>
      <c r="C1106" s="56">
        <v>24.0</v>
      </c>
      <c r="D1106" s="47">
        <v>3.03371000076E12</v>
      </c>
      <c r="E1106" s="55">
        <v>0.65</v>
      </c>
      <c r="F1106" s="59">
        <v>15.6</v>
      </c>
      <c r="G1106" s="33"/>
      <c r="H1106" s="39">
        <f t="shared" si="129"/>
        <v>0</v>
      </c>
    </row>
    <row r="1107" ht="15.0" customHeight="1">
      <c r="A1107" s="48" t="s">
        <v>1351</v>
      </c>
      <c r="B1107" s="54" t="s">
        <v>1350</v>
      </c>
      <c r="C1107" s="56">
        <v>24.0</v>
      </c>
      <c r="D1107" s="47">
        <v>8.437018739035E12</v>
      </c>
      <c r="E1107" s="55">
        <v>0.65</v>
      </c>
      <c r="F1107" s="59">
        <v>15.6</v>
      </c>
      <c r="G1107" s="33"/>
      <c r="H1107" s="39">
        <f t="shared" si="129"/>
        <v>0</v>
      </c>
    </row>
    <row r="1108" ht="15.0" customHeight="1">
      <c r="A1108" s="48" t="s">
        <v>1352</v>
      </c>
      <c r="B1108" s="54" t="s">
        <v>1353</v>
      </c>
      <c r="C1108" s="56">
        <v>24.0</v>
      </c>
      <c r="D1108" s="47" t="s">
        <v>1354</v>
      </c>
      <c r="E1108" s="55">
        <v>1.25</v>
      </c>
      <c r="F1108" s="59">
        <v>30.0</v>
      </c>
      <c r="G1108" s="33"/>
      <c r="H1108" s="39">
        <f t="shared" si="129"/>
        <v>0</v>
      </c>
    </row>
    <row r="1109" ht="15.0" customHeight="1">
      <c r="A1109" s="156" t="s">
        <v>1355</v>
      </c>
      <c r="B1109" s="54"/>
      <c r="C1109" s="56"/>
      <c r="D1109" s="47"/>
      <c r="E1109" s="31"/>
      <c r="F1109" s="59"/>
      <c r="G1109" s="33"/>
      <c r="H1109" s="39"/>
    </row>
    <row r="1110" ht="15.0" customHeight="1">
      <c r="A1110" s="97" t="s">
        <v>1356</v>
      </c>
      <c r="B1110" s="54" t="s">
        <v>1252</v>
      </c>
      <c r="C1110" s="56">
        <v>18.0</v>
      </c>
      <c r="D1110" s="106">
        <v>3.545360207067E12</v>
      </c>
      <c r="E1110" s="55">
        <v>1.5</v>
      </c>
      <c r="F1110" s="59">
        <f t="shared" ref="F1110:F1111" si="130">C1110*E1110</f>
        <v>27</v>
      </c>
      <c r="G1110" s="33"/>
      <c r="H1110" s="39">
        <f t="shared" ref="H1110:H1115" si="131">G1110*F1110</f>
        <v>0</v>
      </c>
    </row>
    <row r="1111" ht="15.0" customHeight="1">
      <c r="A1111" s="97" t="s">
        <v>1357</v>
      </c>
      <c r="B1111" s="54" t="s">
        <v>1272</v>
      </c>
      <c r="C1111" s="56">
        <v>18.0</v>
      </c>
      <c r="D1111" s="106">
        <v>3.545360207074E12</v>
      </c>
      <c r="E1111" s="55">
        <v>1.5</v>
      </c>
      <c r="F1111" s="59">
        <f t="shared" si="130"/>
        <v>27</v>
      </c>
      <c r="G1111" s="33"/>
      <c r="H1111" s="39">
        <f t="shared" si="131"/>
        <v>0</v>
      </c>
    </row>
    <row r="1112" ht="15.0" customHeight="1">
      <c r="A1112" s="157" t="s">
        <v>1358</v>
      </c>
      <c r="B1112" s="54" t="s">
        <v>1359</v>
      </c>
      <c r="C1112" s="56">
        <v>14.0</v>
      </c>
      <c r="D1112" s="106">
        <v>3.545360000972E12</v>
      </c>
      <c r="E1112" s="55">
        <v>1.85</v>
      </c>
      <c r="F1112" s="59">
        <v>25.9</v>
      </c>
      <c r="G1112" s="33"/>
      <c r="H1112" s="39">
        <f t="shared" si="131"/>
        <v>0</v>
      </c>
    </row>
    <row r="1113" ht="15.0" customHeight="1">
      <c r="A1113" s="157" t="s">
        <v>1360</v>
      </c>
      <c r="B1113" s="54" t="s">
        <v>1359</v>
      </c>
      <c r="C1113" s="56">
        <v>14.0</v>
      </c>
      <c r="D1113" s="106">
        <v>3.545360000989E12</v>
      </c>
      <c r="E1113" s="55">
        <v>1.85</v>
      </c>
      <c r="F1113" s="59">
        <v>25.9</v>
      </c>
      <c r="G1113" s="33"/>
      <c r="H1113" s="39">
        <f t="shared" si="131"/>
        <v>0</v>
      </c>
    </row>
    <row r="1114" ht="15.0" customHeight="1">
      <c r="A1114" s="43" t="s">
        <v>1361</v>
      </c>
      <c r="B1114" s="54" t="s">
        <v>1362</v>
      </c>
      <c r="C1114" s="56">
        <v>12.0</v>
      </c>
      <c r="D1114" s="106">
        <v>3.54536000091E12</v>
      </c>
      <c r="E1114" s="55">
        <v>2.65</v>
      </c>
      <c r="F1114" s="59">
        <v>31.8</v>
      </c>
      <c r="G1114" s="33"/>
      <c r="H1114" s="39">
        <f t="shared" si="131"/>
        <v>0</v>
      </c>
    </row>
    <row r="1115" ht="15.0" customHeight="1">
      <c r="A1115" s="97" t="s">
        <v>1363</v>
      </c>
      <c r="B1115" s="54" t="s">
        <v>1364</v>
      </c>
      <c r="C1115" s="56">
        <v>12.0</v>
      </c>
      <c r="D1115" s="106">
        <v>3.5453600002E12</v>
      </c>
      <c r="E1115" s="55">
        <v>3.65</v>
      </c>
      <c r="F1115" s="59">
        <v>43.8</v>
      </c>
      <c r="G1115" s="33"/>
      <c r="H1115" s="39">
        <f t="shared" si="131"/>
        <v>0</v>
      </c>
    </row>
    <row r="1116" ht="15.0" customHeight="1">
      <c r="A1116" s="158" t="s">
        <v>1365</v>
      </c>
      <c r="B1116" s="54"/>
      <c r="C1116" s="56"/>
      <c r="D1116" s="47"/>
      <c r="E1116" s="31"/>
      <c r="F1116" s="32"/>
      <c r="G1116" s="33"/>
      <c r="H1116" s="39"/>
    </row>
    <row r="1117" ht="15.0" customHeight="1">
      <c r="A1117" s="48" t="s">
        <v>1366</v>
      </c>
      <c r="B1117" s="54" t="s">
        <v>1353</v>
      </c>
      <c r="C1117" s="56">
        <v>35.0</v>
      </c>
      <c r="D1117" s="47" t="s">
        <v>1367</v>
      </c>
      <c r="E1117" s="38">
        <v>1.35</v>
      </c>
      <c r="F1117" s="32">
        <v>47.25</v>
      </c>
      <c r="G1117" s="33"/>
      <c r="H1117" s="39">
        <f t="shared" ref="H1117:H1119" si="132">G1117*F1117</f>
        <v>0</v>
      </c>
    </row>
    <row r="1118" ht="15.0" customHeight="1">
      <c r="A1118" s="48" t="s">
        <v>1368</v>
      </c>
      <c r="B1118" s="54" t="s">
        <v>1369</v>
      </c>
      <c r="C1118" s="56">
        <v>35.0</v>
      </c>
      <c r="D1118" s="47" t="s">
        <v>1370</v>
      </c>
      <c r="E1118" s="38">
        <v>1.35</v>
      </c>
      <c r="F1118" s="32">
        <v>47.25</v>
      </c>
      <c r="G1118" s="33"/>
      <c r="H1118" s="39">
        <f t="shared" si="132"/>
        <v>0</v>
      </c>
    </row>
    <row r="1119" ht="15.0" customHeight="1">
      <c r="A1119" s="48" t="s">
        <v>1371</v>
      </c>
      <c r="B1119" s="54" t="s">
        <v>1369</v>
      </c>
      <c r="C1119" s="56">
        <v>35.0</v>
      </c>
      <c r="D1119" s="47" t="s">
        <v>1372</v>
      </c>
      <c r="E1119" s="38">
        <v>1.35</v>
      </c>
      <c r="F1119" s="32">
        <v>47.25</v>
      </c>
      <c r="G1119" s="33"/>
      <c r="H1119" s="39">
        <f t="shared" si="132"/>
        <v>0</v>
      </c>
    </row>
    <row r="1120" ht="15.0" customHeight="1">
      <c r="A1120" s="27" t="s">
        <v>1373</v>
      </c>
      <c r="B1120" s="28"/>
      <c r="C1120" s="29"/>
      <c r="D1120" s="30"/>
      <c r="E1120" s="159"/>
      <c r="F1120" s="32"/>
      <c r="G1120" s="33"/>
      <c r="H1120" s="39"/>
    </row>
    <row r="1121" ht="15.0" customHeight="1">
      <c r="A1121" s="43" t="s">
        <v>1374</v>
      </c>
      <c r="B1121" s="36" t="s">
        <v>1168</v>
      </c>
      <c r="C1121" s="37">
        <v>18.0</v>
      </c>
      <c r="D1121" s="30">
        <v>3.701786000754E12</v>
      </c>
      <c r="E1121" s="38">
        <v>1.75</v>
      </c>
      <c r="F1121" s="32">
        <f t="shared" ref="F1121:F1126" si="133">E1121*C1121</f>
        <v>31.5</v>
      </c>
      <c r="G1121" s="41"/>
      <c r="H1121" s="42">
        <f t="shared" ref="H1121:H1126" si="134">G1121*F1121</f>
        <v>0</v>
      </c>
      <c r="I1121" s="40"/>
      <c r="J1121" s="40"/>
    </row>
    <row r="1122" ht="15.0" customHeight="1">
      <c r="A1122" s="43" t="s">
        <v>1375</v>
      </c>
      <c r="B1122" s="36" t="s">
        <v>1168</v>
      </c>
      <c r="C1122" s="37">
        <v>18.0</v>
      </c>
      <c r="D1122" s="30">
        <v>3.701786000778E12</v>
      </c>
      <c r="E1122" s="38">
        <v>1.75</v>
      </c>
      <c r="F1122" s="32">
        <f t="shared" si="133"/>
        <v>31.5</v>
      </c>
      <c r="G1122" s="41"/>
      <c r="H1122" s="42">
        <f t="shared" si="134"/>
        <v>0</v>
      </c>
      <c r="I1122" s="40"/>
      <c r="J1122" s="40"/>
    </row>
    <row r="1123" ht="15.0" customHeight="1">
      <c r="A1123" s="43" t="s">
        <v>1376</v>
      </c>
      <c r="B1123" s="36" t="s">
        <v>1168</v>
      </c>
      <c r="C1123" s="37">
        <v>18.0</v>
      </c>
      <c r="D1123" s="30">
        <v>3.701786000839E12</v>
      </c>
      <c r="E1123" s="38">
        <v>1.75</v>
      </c>
      <c r="F1123" s="32">
        <f t="shared" si="133"/>
        <v>31.5</v>
      </c>
      <c r="G1123" s="41"/>
      <c r="H1123" s="42">
        <f t="shared" si="134"/>
        <v>0</v>
      </c>
      <c r="I1123" s="40"/>
      <c r="J1123" s="40"/>
    </row>
    <row r="1124" ht="15.0" customHeight="1">
      <c r="A1124" s="43" t="s">
        <v>1377</v>
      </c>
      <c r="B1124" s="36" t="s">
        <v>1168</v>
      </c>
      <c r="C1124" s="37">
        <v>18.0</v>
      </c>
      <c r="D1124" s="30">
        <v>3.701786000808E12</v>
      </c>
      <c r="E1124" s="38">
        <v>1.75</v>
      </c>
      <c r="F1124" s="32">
        <f t="shared" si="133"/>
        <v>31.5</v>
      </c>
      <c r="G1124" s="41"/>
      <c r="H1124" s="42">
        <f t="shared" si="134"/>
        <v>0</v>
      </c>
      <c r="I1124" s="40"/>
      <c r="J1124" s="40"/>
    </row>
    <row r="1125" ht="15.0" customHeight="1">
      <c r="A1125" s="43" t="s">
        <v>1378</v>
      </c>
      <c r="B1125" s="36" t="s">
        <v>1168</v>
      </c>
      <c r="C1125" s="37">
        <v>18.0</v>
      </c>
      <c r="D1125" s="30">
        <v>3.701786000747E12</v>
      </c>
      <c r="E1125" s="38">
        <v>1.75</v>
      </c>
      <c r="F1125" s="32">
        <f t="shared" si="133"/>
        <v>31.5</v>
      </c>
      <c r="G1125" s="41"/>
      <c r="H1125" s="42">
        <f t="shared" si="134"/>
        <v>0</v>
      </c>
      <c r="I1125" s="40"/>
      <c r="J1125" s="40"/>
    </row>
    <row r="1126" ht="15.0" customHeight="1">
      <c r="A1126" s="43" t="s">
        <v>1379</v>
      </c>
      <c r="B1126" s="36" t="s">
        <v>1168</v>
      </c>
      <c r="C1126" s="37">
        <v>18.0</v>
      </c>
      <c r="D1126" s="30">
        <v>3.70178600073E12</v>
      </c>
      <c r="E1126" s="38">
        <v>1.75</v>
      </c>
      <c r="F1126" s="32">
        <f t="shared" si="133"/>
        <v>31.5</v>
      </c>
      <c r="G1126" s="41"/>
      <c r="H1126" s="42">
        <f t="shared" si="134"/>
        <v>0</v>
      </c>
      <c r="I1126" s="40"/>
      <c r="J1126" s="40"/>
    </row>
    <row r="1127" ht="15.0" customHeight="1">
      <c r="A1127" s="27" t="s">
        <v>1380</v>
      </c>
      <c r="B1127" s="28"/>
      <c r="C1127" s="29"/>
      <c r="D1127" s="30"/>
      <c r="E1127" s="159"/>
      <c r="F1127" s="32"/>
      <c r="G1127" s="33"/>
      <c r="H1127" s="39"/>
    </row>
    <row r="1128" ht="15.0" customHeight="1">
      <c r="A1128" s="35" t="s">
        <v>1381</v>
      </c>
      <c r="B1128" s="36" t="s">
        <v>1168</v>
      </c>
      <c r="C1128" s="37">
        <v>10.0</v>
      </c>
      <c r="D1128" s="160">
        <v>1.230000168465E12</v>
      </c>
      <c r="E1128" s="38">
        <v>2.6</v>
      </c>
      <c r="F1128" s="32">
        <v>26.0</v>
      </c>
      <c r="G1128" s="33"/>
      <c r="H1128" s="39">
        <f t="shared" ref="H1128:H1131" si="135">G1128*F1128</f>
        <v>0</v>
      </c>
    </row>
    <row r="1129" ht="15.0" customHeight="1">
      <c r="A1129" s="35" t="s">
        <v>1382</v>
      </c>
      <c r="B1129" s="36" t="s">
        <v>1168</v>
      </c>
      <c r="C1129" s="37">
        <v>10.0</v>
      </c>
      <c r="D1129" s="160">
        <v>1.230000168045E12</v>
      </c>
      <c r="E1129" s="38">
        <v>2.6</v>
      </c>
      <c r="F1129" s="32">
        <v>26.0</v>
      </c>
      <c r="G1129" s="33"/>
      <c r="H1129" s="39">
        <f t="shared" si="135"/>
        <v>0</v>
      </c>
    </row>
    <row r="1130" ht="15.0" customHeight="1">
      <c r="A1130" s="35" t="s">
        <v>1383</v>
      </c>
      <c r="B1130" s="36" t="s">
        <v>1168</v>
      </c>
      <c r="C1130" s="37">
        <v>10.0</v>
      </c>
      <c r="D1130" s="160">
        <v>1.230000168007E12</v>
      </c>
      <c r="E1130" s="38">
        <v>2.6</v>
      </c>
      <c r="F1130" s="32">
        <v>26.0</v>
      </c>
      <c r="G1130" s="33"/>
      <c r="H1130" s="39">
        <f t="shared" si="135"/>
        <v>0</v>
      </c>
    </row>
    <row r="1131" ht="15.0" customHeight="1">
      <c r="A1131" s="35" t="s">
        <v>1384</v>
      </c>
      <c r="B1131" s="36" t="s">
        <v>1168</v>
      </c>
      <c r="C1131" s="37">
        <v>10.0</v>
      </c>
      <c r="D1131" s="160">
        <v>1.230000168021E12</v>
      </c>
      <c r="E1131" s="38">
        <v>2.6</v>
      </c>
      <c r="F1131" s="32">
        <v>26.0</v>
      </c>
      <c r="G1131" s="33"/>
      <c r="H1131" s="39">
        <f t="shared" si="135"/>
        <v>0</v>
      </c>
    </row>
    <row r="1132" ht="15.0" customHeight="1">
      <c r="A1132" s="27" t="s">
        <v>1385</v>
      </c>
      <c r="B1132" s="28"/>
      <c r="C1132" s="29"/>
      <c r="D1132" s="30"/>
      <c r="E1132" s="31"/>
      <c r="F1132" s="32"/>
      <c r="G1132" s="33"/>
      <c r="H1132" s="39"/>
    </row>
    <row r="1133" ht="15.0" customHeight="1">
      <c r="A1133" s="35" t="s">
        <v>1386</v>
      </c>
      <c r="B1133" s="36" t="s">
        <v>1311</v>
      </c>
      <c r="C1133" s="37">
        <v>12.0</v>
      </c>
      <c r="D1133" s="30">
        <v>7.340001800623E12</v>
      </c>
      <c r="E1133" s="38">
        <v>1.75</v>
      </c>
      <c r="F1133" s="32">
        <v>21.0</v>
      </c>
      <c r="G1133" s="33"/>
      <c r="H1133" s="39">
        <f t="shared" ref="H1133:H1138" si="136">G1133*F1133</f>
        <v>0</v>
      </c>
    </row>
    <row r="1134" ht="15.0" customHeight="1">
      <c r="A1134" s="35" t="s">
        <v>1387</v>
      </c>
      <c r="B1134" s="36" t="s">
        <v>1311</v>
      </c>
      <c r="C1134" s="37">
        <v>12.0</v>
      </c>
      <c r="D1134" s="30">
        <v>7.340001805116E12</v>
      </c>
      <c r="E1134" s="38">
        <v>1.75</v>
      </c>
      <c r="F1134" s="32">
        <v>21.0</v>
      </c>
      <c r="G1134" s="33"/>
      <c r="H1134" s="39">
        <f t="shared" si="136"/>
        <v>0</v>
      </c>
    </row>
    <row r="1135" ht="15.0" customHeight="1">
      <c r="A1135" s="35" t="s">
        <v>1388</v>
      </c>
      <c r="B1135" s="36" t="s">
        <v>1311</v>
      </c>
      <c r="C1135" s="37">
        <v>12.0</v>
      </c>
      <c r="D1135" s="30">
        <v>7.340001805529E12</v>
      </c>
      <c r="E1135" s="38">
        <v>1.75</v>
      </c>
      <c r="F1135" s="32">
        <v>21.0</v>
      </c>
      <c r="G1135" s="33"/>
      <c r="H1135" s="39">
        <f t="shared" si="136"/>
        <v>0</v>
      </c>
      <c r="L1135" s="102" t="s">
        <v>1389</v>
      </c>
    </row>
    <row r="1136" ht="15.0" customHeight="1">
      <c r="A1136" s="35" t="s">
        <v>1390</v>
      </c>
      <c r="B1136" s="36" t="s">
        <v>1311</v>
      </c>
      <c r="C1136" s="37">
        <v>12.0</v>
      </c>
      <c r="D1136" s="30">
        <v>7.340001804904E12</v>
      </c>
      <c r="E1136" s="38">
        <v>1.75</v>
      </c>
      <c r="F1136" s="32">
        <v>21.0</v>
      </c>
      <c r="G1136" s="33"/>
      <c r="H1136" s="39">
        <f t="shared" si="136"/>
        <v>0</v>
      </c>
    </row>
    <row r="1137" ht="15.0" customHeight="1">
      <c r="A1137" s="43" t="s">
        <v>1391</v>
      </c>
      <c r="B1137" s="161" t="s">
        <v>1311</v>
      </c>
      <c r="C1137" s="162">
        <v>12.0</v>
      </c>
      <c r="D1137" s="163">
        <v>7.340001800999E12</v>
      </c>
      <c r="E1137" s="164">
        <v>1.75</v>
      </c>
      <c r="F1137" s="165">
        <v>21.0</v>
      </c>
      <c r="G1137" s="33"/>
      <c r="H1137" s="39">
        <f t="shared" si="136"/>
        <v>0</v>
      </c>
    </row>
    <row r="1138" ht="15.0" customHeight="1">
      <c r="A1138" s="35" t="s">
        <v>1392</v>
      </c>
      <c r="B1138" s="36" t="s">
        <v>1311</v>
      </c>
      <c r="C1138" s="37">
        <v>12.0</v>
      </c>
      <c r="D1138" s="30">
        <v>7.340001805918E12</v>
      </c>
      <c r="E1138" s="38">
        <v>1.75</v>
      </c>
      <c r="F1138" s="32">
        <v>21.0</v>
      </c>
      <c r="G1138" s="33"/>
      <c r="H1138" s="39">
        <f t="shared" si="136"/>
        <v>0</v>
      </c>
    </row>
    <row r="1139" ht="15.0" customHeight="1">
      <c r="A1139" s="27" t="s">
        <v>1393</v>
      </c>
      <c r="B1139" s="28"/>
      <c r="C1139" s="29"/>
      <c r="D1139" s="30"/>
      <c r="E1139" s="31"/>
      <c r="F1139" s="32"/>
      <c r="G1139" s="33"/>
      <c r="H1139" s="39"/>
    </row>
    <row r="1140" ht="15.0" customHeight="1">
      <c r="A1140" s="35" t="s">
        <v>1394</v>
      </c>
      <c r="B1140" s="36" t="s">
        <v>1395</v>
      </c>
      <c r="C1140" s="37">
        <v>12.0</v>
      </c>
      <c r="D1140" s="30">
        <v>3.760287010129E12</v>
      </c>
      <c r="E1140" s="38">
        <v>1.55</v>
      </c>
      <c r="F1140" s="32">
        <v>18.6</v>
      </c>
      <c r="G1140" s="33"/>
      <c r="H1140" s="39">
        <f t="shared" ref="H1140:H1141" si="137">G1140*F1140</f>
        <v>0</v>
      </c>
    </row>
    <row r="1141" ht="15.0" customHeight="1">
      <c r="A1141" s="35" t="s">
        <v>1396</v>
      </c>
      <c r="B1141" s="36" t="s">
        <v>1395</v>
      </c>
      <c r="C1141" s="37">
        <v>12.0</v>
      </c>
      <c r="D1141" s="30">
        <v>3.760287010112E12</v>
      </c>
      <c r="E1141" s="38">
        <v>1.55</v>
      </c>
      <c r="F1141" s="32">
        <v>18.6</v>
      </c>
      <c r="G1141" s="33"/>
      <c r="H1141" s="39">
        <f t="shared" si="137"/>
        <v>0</v>
      </c>
    </row>
    <row r="1142" ht="15.0" customHeight="1">
      <c r="A1142" s="27" t="s">
        <v>1397</v>
      </c>
      <c r="B1142" s="123"/>
      <c r="C1142" s="124"/>
      <c r="D1142" s="30"/>
      <c r="E1142" s="31"/>
      <c r="F1142" s="32"/>
      <c r="G1142" s="33"/>
      <c r="H1142" s="39"/>
    </row>
    <row r="1143" ht="15.0" customHeight="1">
      <c r="A1143" s="35" t="s">
        <v>1398</v>
      </c>
      <c r="B1143" s="36" t="s">
        <v>1399</v>
      </c>
      <c r="C1143" s="37">
        <v>24.0</v>
      </c>
      <c r="D1143" s="30" t="s">
        <v>1400</v>
      </c>
      <c r="E1143" s="38">
        <v>1.45</v>
      </c>
      <c r="F1143" s="32">
        <v>34.8</v>
      </c>
      <c r="G1143" s="33"/>
      <c r="H1143" s="39">
        <f>G1143*F1143</f>
        <v>0</v>
      </c>
    </row>
    <row r="1144" ht="15.0" customHeight="1">
      <c r="A1144" s="27" t="s">
        <v>1401</v>
      </c>
      <c r="B1144" s="28"/>
      <c r="C1144" s="29"/>
      <c r="D1144" s="30"/>
      <c r="E1144" s="31"/>
      <c r="F1144" s="32"/>
      <c r="G1144" s="33"/>
      <c r="H1144" s="39"/>
    </row>
    <row r="1145" ht="15.0" customHeight="1">
      <c r="A1145" s="35" t="s">
        <v>1402</v>
      </c>
      <c r="B1145" s="36" t="s">
        <v>1272</v>
      </c>
      <c r="C1145" s="37">
        <v>20.0</v>
      </c>
      <c r="D1145" s="30">
        <v>3.58840025287E12</v>
      </c>
      <c r="E1145" s="38">
        <v>1.15</v>
      </c>
      <c r="F1145" s="32">
        <v>23.0</v>
      </c>
      <c r="G1145" s="33"/>
      <c r="H1145" s="39">
        <f>G1145*F1145</f>
        <v>0</v>
      </c>
    </row>
    <row r="1146" ht="15.0" customHeight="1">
      <c r="A1146" s="27" t="s">
        <v>1403</v>
      </c>
      <c r="B1146" s="123"/>
      <c r="C1146" s="124"/>
      <c r="D1146" s="30"/>
      <c r="E1146" s="31"/>
      <c r="F1146" s="32"/>
      <c r="G1146" s="33"/>
      <c r="H1146" s="39"/>
    </row>
    <row r="1147" ht="15.0" customHeight="1">
      <c r="A1147" s="49" t="s">
        <v>1404</v>
      </c>
      <c r="B1147" s="166" t="s">
        <v>1104</v>
      </c>
      <c r="C1147" s="56">
        <v>12.0</v>
      </c>
      <c r="D1147" s="71" t="s">
        <v>1405</v>
      </c>
      <c r="E1147" s="55">
        <v>1.55</v>
      </c>
      <c r="F1147" s="59">
        <f t="shared" ref="F1147:F1151" si="138">E1147*C1147</f>
        <v>18.6</v>
      </c>
      <c r="G1147" s="33"/>
      <c r="H1147" s="39">
        <f t="shared" ref="H1147:H1151" si="139">G1147*F1147</f>
        <v>0</v>
      </c>
    </row>
    <row r="1148" ht="15.0" customHeight="1">
      <c r="A1148" s="49" t="s">
        <v>1406</v>
      </c>
      <c r="B1148" s="166" t="s">
        <v>1104</v>
      </c>
      <c r="C1148" s="56">
        <v>12.0</v>
      </c>
      <c r="D1148" s="71" t="s">
        <v>1407</v>
      </c>
      <c r="E1148" s="55">
        <v>1.55</v>
      </c>
      <c r="F1148" s="59">
        <f t="shared" si="138"/>
        <v>18.6</v>
      </c>
      <c r="G1148" s="33"/>
      <c r="H1148" s="39">
        <f t="shared" si="139"/>
        <v>0</v>
      </c>
    </row>
    <row r="1149" ht="15.0" customHeight="1">
      <c r="A1149" s="49" t="s">
        <v>1408</v>
      </c>
      <c r="B1149" s="166" t="s">
        <v>1104</v>
      </c>
      <c r="C1149" s="56">
        <v>12.0</v>
      </c>
      <c r="D1149" s="71" t="s">
        <v>1409</v>
      </c>
      <c r="E1149" s="55">
        <v>1.55</v>
      </c>
      <c r="F1149" s="59">
        <f t="shared" si="138"/>
        <v>18.6</v>
      </c>
      <c r="G1149" s="33"/>
      <c r="H1149" s="39">
        <f t="shared" si="139"/>
        <v>0</v>
      </c>
    </row>
    <row r="1150" ht="15.0" customHeight="1">
      <c r="A1150" s="49" t="s">
        <v>1410</v>
      </c>
      <c r="B1150" s="166" t="s">
        <v>1191</v>
      </c>
      <c r="C1150" s="56">
        <v>12.0</v>
      </c>
      <c r="D1150" s="71" t="s">
        <v>1411</v>
      </c>
      <c r="E1150" s="55">
        <v>1.55</v>
      </c>
      <c r="F1150" s="59">
        <f t="shared" si="138"/>
        <v>18.6</v>
      </c>
      <c r="G1150" s="33"/>
      <c r="H1150" s="39">
        <f t="shared" si="139"/>
        <v>0</v>
      </c>
    </row>
    <row r="1151" ht="15.0" customHeight="1">
      <c r="A1151" s="49" t="s">
        <v>1412</v>
      </c>
      <c r="B1151" s="166" t="s">
        <v>1191</v>
      </c>
      <c r="C1151" s="56">
        <v>12.0</v>
      </c>
      <c r="D1151" s="71" t="s">
        <v>1413</v>
      </c>
      <c r="E1151" s="55">
        <v>1.55</v>
      </c>
      <c r="F1151" s="59">
        <f t="shared" si="138"/>
        <v>18.6</v>
      </c>
      <c r="G1151" s="33"/>
      <c r="H1151" s="39">
        <f t="shared" si="139"/>
        <v>0</v>
      </c>
    </row>
    <row r="1152" ht="15.0" customHeight="1">
      <c r="A1152" s="27" t="s">
        <v>1414</v>
      </c>
      <c r="B1152" s="28"/>
      <c r="C1152" s="29"/>
      <c r="D1152" s="30"/>
      <c r="E1152" s="31"/>
      <c r="F1152" s="32"/>
      <c r="G1152" s="33"/>
      <c r="H1152" s="39"/>
    </row>
    <row r="1153" ht="15.0" customHeight="1">
      <c r="A1153" s="35" t="s">
        <v>1415</v>
      </c>
      <c r="B1153" s="36" t="s">
        <v>1135</v>
      </c>
      <c r="C1153" s="37">
        <v>12.0</v>
      </c>
      <c r="D1153" s="30">
        <v>8.410525116759E12</v>
      </c>
      <c r="E1153" s="38">
        <v>0.67</v>
      </c>
      <c r="F1153" s="32">
        <v>1.0</v>
      </c>
      <c r="G1153" s="33"/>
      <c r="H1153" s="39">
        <f t="shared" ref="H1153:H1177" si="140">G1153*F1153</f>
        <v>0</v>
      </c>
    </row>
    <row r="1154" ht="15.0" customHeight="1">
      <c r="A1154" s="167" t="s">
        <v>1416</v>
      </c>
      <c r="B1154" s="166" t="s">
        <v>1417</v>
      </c>
      <c r="C1154" s="56">
        <v>12.0</v>
      </c>
      <c r="D1154" s="47" t="s">
        <v>1418</v>
      </c>
      <c r="E1154" s="55">
        <v>0.67</v>
      </c>
      <c r="F1154" s="59">
        <v>8.04</v>
      </c>
      <c r="G1154" s="33"/>
      <c r="H1154" s="39">
        <f t="shared" si="140"/>
        <v>0</v>
      </c>
    </row>
    <row r="1155" ht="15.0" customHeight="1">
      <c r="A1155" s="35" t="s">
        <v>1419</v>
      </c>
      <c r="B1155" s="36" t="s">
        <v>1135</v>
      </c>
      <c r="C1155" s="37">
        <v>12.0</v>
      </c>
      <c r="D1155" s="30">
        <v>8.410525116742E12</v>
      </c>
      <c r="E1155" s="38">
        <v>0.67</v>
      </c>
      <c r="F1155" s="59">
        <v>8.04</v>
      </c>
      <c r="G1155" s="33"/>
      <c r="H1155" s="39">
        <f t="shared" si="140"/>
        <v>0</v>
      </c>
    </row>
    <row r="1156" ht="15.0" customHeight="1">
      <c r="A1156" s="35" t="s">
        <v>1420</v>
      </c>
      <c r="B1156" s="36" t="s">
        <v>1135</v>
      </c>
      <c r="C1156" s="37">
        <v>12.0</v>
      </c>
      <c r="D1156" s="30">
        <v>8.410525116704E12</v>
      </c>
      <c r="E1156" s="38">
        <v>0.67</v>
      </c>
      <c r="F1156" s="59">
        <v>8.04</v>
      </c>
      <c r="G1156" s="33"/>
      <c r="H1156" s="39">
        <f t="shared" si="140"/>
        <v>0</v>
      </c>
    </row>
    <row r="1157" ht="15.0" customHeight="1">
      <c r="A1157" s="35" t="s">
        <v>1421</v>
      </c>
      <c r="B1157" s="36" t="s">
        <v>1135</v>
      </c>
      <c r="C1157" s="37">
        <v>12.0</v>
      </c>
      <c r="D1157" s="30">
        <v>8.410525116766E12</v>
      </c>
      <c r="E1157" s="38">
        <v>0.67</v>
      </c>
      <c r="F1157" s="32">
        <v>8.04</v>
      </c>
      <c r="G1157" s="33"/>
      <c r="H1157" s="39">
        <f t="shared" si="140"/>
        <v>0</v>
      </c>
    </row>
    <row r="1158" ht="15.0" customHeight="1">
      <c r="A1158" s="35" t="s">
        <v>1422</v>
      </c>
      <c r="B1158" s="36" t="s">
        <v>1135</v>
      </c>
      <c r="C1158" s="37">
        <v>12.0</v>
      </c>
      <c r="D1158" s="30">
        <v>8.410525248078E12</v>
      </c>
      <c r="E1158" s="38">
        <v>0.67</v>
      </c>
      <c r="F1158" s="32">
        <v>8.04</v>
      </c>
      <c r="G1158" s="33"/>
      <c r="H1158" s="39">
        <f t="shared" si="140"/>
        <v>0</v>
      </c>
    </row>
    <row r="1159" ht="15.0" customHeight="1">
      <c r="A1159" s="35" t="s">
        <v>1423</v>
      </c>
      <c r="B1159" s="36" t="s">
        <v>1135</v>
      </c>
      <c r="C1159" s="37">
        <v>12.0</v>
      </c>
      <c r="D1159" s="30">
        <v>8.410525241314E12</v>
      </c>
      <c r="E1159" s="38">
        <v>0.67</v>
      </c>
      <c r="F1159" s="32">
        <v>8.04</v>
      </c>
      <c r="G1159" s="33"/>
      <c r="H1159" s="39">
        <f t="shared" si="140"/>
        <v>0</v>
      </c>
    </row>
    <row r="1160" ht="15.0" customHeight="1">
      <c r="A1160" s="35" t="s">
        <v>1424</v>
      </c>
      <c r="B1160" s="36" t="s">
        <v>1135</v>
      </c>
      <c r="C1160" s="37">
        <v>12.0</v>
      </c>
      <c r="D1160" s="30">
        <v>8.410525241321E12</v>
      </c>
      <c r="E1160" s="38">
        <v>0.67</v>
      </c>
      <c r="F1160" s="32">
        <v>8.04</v>
      </c>
      <c r="G1160" s="33"/>
      <c r="H1160" s="39">
        <f t="shared" si="140"/>
        <v>0</v>
      </c>
    </row>
    <row r="1161" ht="15.0" customHeight="1">
      <c r="A1161" s="35" t="s">
        <v>1425</v>
      </c>
      <c r="B1161" s="36" t="s">
        <v>1135</v>
      </c>
      <c r="C1161" s="37">
        <v>12.0</v>
      </c>
      <c r="D1161" s="30">
        <v>8.410525159749E12</v>
      </c>
      <c r="E1161" s="38">
        <v>0.67</v>
      </c>
      <c r="F1161" s="32">
        <v>8.04</v>
      </c>
      <c r="G1161" s="33"/>
      <c r="H1161" s="39">
        <f t="shared" si="140"/>
        <v>0</v>
      </c>
    </row>
    <row r="1162" ht="15.0" customHeight="1">
      <c r="A1162" s="35" t="s">
        <v>1426</v>
      </c>
      <c r="B1162" s="36" t="s">
        <v>1135</v>
      </c>
      <c r="C1162" s="37">
        <v>12.0</v>
      </c>
      <c r="D1162" s="30">
        <v>8.410525116803E12</v>
      </c>
      <c r="E1162" s="38">
        <v>0.67</v>
      </c>
      <c r="F1162" s="32">
        <v>8.04</v>
      </c>
      <c r="G1162" s="33"/>
      <c r="H1162" s="39">
        <f t="shared" si="140"/>
        <v>0</v>
      </c>
    </row>
    <row r="1163" ht="15.0" customHeight="1">
      <c r="A1163" s="35" t="s">
        <v>1427</v>
      </c>
      <c r="B1163" s="36" t="s">
        <v>1135</v>
      </c>
      <c r="C1163" s="37">
        <v>12.0</v>
      </c>
      <c r="D1163" s="30">
        <v>8.410525122903E12</v>
      </c>
      <c r="E1163" s="38">
        <v>0.67</v>
      </c>
      <c r="F1163" s="32">
        <v>8.04</v>
      </c>
      <c r="G1163" s="33"/>
      <c r="H1163" s="39">
        <f t="shared" si="140"/>
        <v>0</v>
      </c>
    </row>
    <row r="1164" ht="15.0" customHeight="1">
      <c r="A1164" s="35" t="s">
        <v>1428</v>
      </c>
      <c r="B1164" s="36" t="s">
        <v>1135</v>
      </c>
      <c r="C1164" s="37">
        <v>12.0</v>
      </c>
      <c r="D1164" s="30">
        <v>8.410525119019E12</v>
      </c>
      <c r="E1164" s="38">
        <v>0.67</v>
      </c>
      <c r="F1164" s="32">
        <v>8.04</v>
      </c>
      <c r="G1164" s="33"/>
      <c r="H1164" s="39">
        <f t="shared" si="140"/>
        <v>0</v>
      </c>
    </row>
    <row r="1165" ht="15.0" customHeight="1">
      <c r="A1165" s="35" t="s">
        <v>1429</v>
      </c>
      <c r="B1165" s="36" t="s">
        <v>1135</v>
      </c>
      <c r="C1165" s="37">
        <v>12.0</v>
      </c>
      <c r="D1165" s="30">
        <v>8.410525160554E12</v>
      </c>
      <c r="E1165" s="38">
        <v>0.67</v>
      </c>
      <c r="F1165" s="32">
        <v>8.04</v>
      </c>
      <c r="G1165" s="33"/>
      <c r="H1165" s="39">
        <f t="shared" si="140"/>
        <v>0</v>
      </c>
    </row>
    <row r="1166" ht="15.0" customHeight="1">
      <c r="A1166" s="35" t="s">
        <v>1430</v>
      </c>
      <c r="B1166" s="36" t="s">
        <v>1135</v>
      </c>
      <c r="C1166" s="37">
        <v>12.0</v>
      </c>
      <c r="D1166" s="30">
        <v>8.410525116711E12</v>
      </c>
      <c r="E1166" s="38">
        <v>0.67</v>
      </c>
      <c r="F1166" s="32">
        <v>8.04</v>
      </c>
      <c r="G1166" s="33"/>
      <c r="H1166" s="39">
        <f t="shared" si="140"/>
        <v>0</v>
      </c>
    </row>
    <row r="1167" ht="15.0" customHeight="1">
      <c r="A1167" s="35" t="s">
        <v>1431</v>
      </c>
      <c r="B1167" s="36" t="s">
        <v>1135</v>
      </c>
      <c r="C1167" s="37">
        <v>12.0</v>
      </c>
      <c r="D1167" s="30">
        <v>8.4105251215E12</v>
      </c>
      <c r="E1167" s="38">
        <v>0.67</v>
      </c>
      <c r="F1167" s="32">
        <v>8.04</v>
      </c>
      <c r="G1167" s="33"/>
      <c r="H1167" s="39">
        <f t="shared" si="140"/>
        <v>0</v>
      </c>
    </row>
    <row r="1168" ht="15.0" customHeight="1">
      <c r="A1168" s="49" t="s">
        <v>1432</v>
      </c>
      <c r="B1168" s="54" t="s">
        <v>1135</v>
      </c>
      <c r="C1168" s="56">
        <v>12.0</v>
      </c>
      <c r="D1168" s="47" t="s">
        <v>1433</v>
      </c>
      <c r="E1168" s="55">
        <v>0.67</v>
      </c>
      <c r="F1168" s="59">
        <v>8.04</v>
      </c>
      <c r="G1168" s="34"/>
      <c r="H1168" s="168">
        <f t="shared" si="140"/>
        <v>0</v>
      </c>
    </row>
    <row r="1169" ht="15.0" customHeight="1">
      <c r="A1169" s="35" t="s">
        <v>1434</v>
      </c>
      <c r="B1169" s="36" t="s">
        <v>1135</v>
      </c>
      <c r="C1169" s="37">
        <v>12.0</v>
      </c>
      <c r="D1169" s="30">
        <v>8.410525247569E12</v>
      </c>
      <c r="E1169" s="38">
        <v>0.67</v>
      </c>
      <c r="F1169" s="32">
        <v>8.04</v>
      </c>
      <c r="G1169" s="33"/>
      <c r="H1169" s="39">
        <f t="shared" si="140"/>
        <v>0</v>
      </c>
    </row>
    <row r="1170" ht="15.0" customHeight="1">
      <c r="A1170" s="35" t="s">
        <v>1435</v>
      </c>
      <c r="B1170" s="36" t="s">
        <v>1135</v>
      </c>
      <c r="C1170" s="37">
        <v>12.0</v>
      </c>
      <c r="D1170" s="30">
        <v>8.410525179914E12</v>
      </c>
      <c r="E1170" s="38">
        <v>0.67</v>
      </c>
      <c r="F1170" s="32">
        <v>8.04</v>
      </c>
      <c r="G1170" s="33"/>
      <c r="H1170" s="39">
        <f t="shared" si="140"/>
        <v>0</v>
      </c>
    </row>
    <row r="1171" ht="15.0" customHeight="1">
      <c r="A1171" s="35" t="s">
        <v>1436</v>
      </c>
      <c r="B1171" s="36" t="s">
        <v>1135</v>
      </c>
      <c r="C1171" s="37">
        <v>12.0</v>
      </c>
      <c r="D1171" s="30">
        <v>8.410525116728E12</v>
      </c>
      <c r="E1171" s="38">
        <v>0.67</v>
      </c>
      <c r="F1171" s="32">
        <v>8.04</v>
      </c>
      <c r="G1171" s="33"/>
      <c r="H1171" s="39">
        <f t="shared" si="140"/>
        <v>0</v>
      </c>
    </row>
    <row r="1172" ht="15.0" customHeight="1">
      <c r="A1172" s="35" t="s">
        <v>1437</v>
      </c>
      <c r="B1172" s="36" t="s">
        <v>1135</v>
      </c>
      <c r="C1172" s="37">
        <v>12.0</v>
      </c>
      <c r="D1172" s="30">
        <v>8.410525220548E12</v>
      </c>
      <c r="E1172" s="38">
        <v>0.67</v>
      </c>
      <c r="F1172" s="32">
        <v>8.04</v>
      </c>
      <c r="G1172" s="33"/>
      <c r="H1172" s="39">
        <f t="shared" si="140"/>
        <v>0</v>
      </c>
    </row>
    <row r="1173" ht="15.0" customHeight="1">
      <c r="A1173" s="35" t="s">
        <v>1438</v>
      </c>
      <c r="B1173" s="36" t="s">
        <v>1135</v>
      </c>
      <c r="C1173" s="37">
        <v>12.0</v>
      </c>
      <c r="D1173" s="30">
        <v>8.410525116834E12</v>
      </c>
      <c r="E1173" s="38">
        <v>0.67</v>
      </c>
      <c r="F1173" s="32">
        <v>8.04</v>
      </c>
      <c r="G1173" s="33"/>
      <c r="H1173" s="39">
        <f t="shared" si="140"/>
        <v>0</v>
      </c>
    </row>
    <row r="1174" ht="15.0" customHeight="1">
      <c r="A1174" s="35" t="s">
        <v>1439</v>
      </c>
      <c r="B1174" s="36" t="s">
        <v>1135</v>
      </c>
      <c r="C1174" s="37">
        <v>12.0</v>
      </c>
      <c r="D1174" s="30">
        <v>8.410525116797E12</v>
      </c>
      <c r="E1174" s="38">
        <v>0.67</v>
      </c>
      <c r="F1174" s="32">
        <v>8.04</v>
      </c>
      <c r="G1174" s="33"/>
      <c r="H1174" s="39">
        <f t="shared" si="140"/>
        <v>0</v>
      </c>
    </row>
    <row r="1175" ht="15.0" customHeight="1">
      <c r="A1175" s="35" t="s">
        <v>1440</v>
      </c>
      <c r="B1175" s="36" t="s">
        <v>1135</v>
      </c>
      <c r="C1175" s="37">
        <v>12.0</v>
      </c>
      <c r="D1175" s="30">
        <v>8.410525178085E12</v>
      </c>
      <c r="E1175" s="38">
        <v>0.67</v>
      </c>
      <c r="F1175" s="32">
        <v>8.04</v>
      </c>
      <c r="G1175" s="33"/>
      <c r="H1175" s="39">
        <f t="shared" si="140"/>
        <v>0</v>
      </c>
    </row>
    <row r="1176" ht="15.0" customHeight="1">
      <c r="A1176" s="169" t="s">
        <v>1441</v>
      </c>
      <c r="B1176" s="54" t="s">
        <v>1133</v>
      </c>
      <c r="C1176" s="56">
        <v>12.0</v>
      </c>
      <c r="D1176" s="106">
        <v>8.410525274602E12</v>
      </c>
      <c r="E1176" s="55">
        <v>0.67</v>
      </c>
      <c r="F1176" s="59">
        <v>8.04</v>
      </c>
      <c r="G1176" s="33"/>
      <c r="H1176" s="39">
        <f t="shared" si="140"/>
        <v>0</v>
      </c>
    </row>
    <row r="1177" ht="15.0" customHeight="1">
      <c r="A1177" s="49" t="s">
        <v>1442</v>
      </c>
      <c r="B1177" s="54" t="s">
        <v>1133</v>
      </c>
      <c r="C1177" s="56">
        <v>12.0</v>
      </c>
      <c r="D1177" s="106">
        <v>8.41052527477E12</v>
      </c>
      <c r="E1177" s="55">
        <v>0.67</v>
      </c>
      <c r="F1177" s="59">
        <v>8.04</v>
      </c>
      <c r="G1177" s="33"/>
      <c r="H1177" s="39">
        <f t="shared" si="140"/>
        <v>0</v>
      </c>
    </row>
    <row r="1178" ht="15.0" customHeight="1">
      <c r="A1178" s="27" t="s">
        <v>1443</v>
      </c>
      <c r="B1178" s="28"/>
      <c r="C1178" s="29"/>
      <c r="D1178" s="30"/>
      <c r="E1178" s="31"/>
      <c r="F1178" s="32"/>
      <c r="G1178" s="33"/>
      <c r="H1178" s="39"/>
    </row>
    <row r="1179" ht="15.0" customHeight="1">
      <c r="A1179" s="35" t="s">
        <v>1444</v>
      </c>
      <c r="B1179" s="36" t="s">
        <v>1135</v>
      </c>
      <c r="C1179" s="37">
        <v>12.0</v>
      </c>
      <c r="D1179" s="30">
        <v>8.410525116827E12</v>
      </c>
      <c r="E1179" s="38">
        <v>0.7</v>
      </c>
      <c r="F1179" s="32">
        <v>8.4</v>
      </c>
      <c r="G1179" s="33"/>
      <c r="H1179" s="39">
        <f t="shared" ref="H1179:H1182" si="141">G1179*F1179</f>
        <v>0</v>
      </c>
    </row>
    <row r="1180" ht="15.0" customHeight="1">
      <c r="A1180" s="35" t="s">
        <v>1445</v>
      </c>
      <c r="B1180" s="36" t="s">
        <v>1135</v>
      </c>
      <c r="C1180" s="37">
        <v>12.0</v>
      </c>
      <c r="D1180" s="30">
        <v>8.410525147906E12</v>
      </c>
      <c r="E1180" s="38">
        <v>0.7</v>
      </c>
      <c r="F1180" s="32">
        <v>8.4</v>
      </c>
      <c r="G1180" s="33"/>
      <c r="H1180" s="39">
        <f t="shared" si="141"/>
        <v>0</v>
      </c>
    </row>
    <row r="1181" ht="15.0" customHeight="1">
      <c r="A1181" s="35" t="s">
        <v>1446</v>
      </c>
      <c r="B1181" s="36" t="s">
        <v>1135</v>
      </c>
      <c r="C1181" s="37">
        <v>12.0</v>
      </c>
      <c r="D1181" s="30">
        <v>8.410525143397E12</v>
      </c>
      <c r="E1181" s="38">
        <v>0.7</v>
      </c>
      <c r="F1181" s="32">
        <v>8.4</v>
      </c>
      <c r="G1181" s="33"/>
      <c r="H1181" s="39">
        <f t="shared" si="141"/>
        <v>0</v>
      </c>
    </row>
    <row r="1182" ht="15.0" customHeight="1">
      <c r="A1182" s="35" t="s">
        <v>1447</v>
      </c>
      <c r="B1182" s="36" t="s">
        <v>1135</v>
      </c>
      <c r="C1182" s="37">
        <v>12.0</v>
      </c>
      <c r="D1182" s="30">
        <v>8.410525143403E12</v>
      </c>
      <c r="E1182" s="38">
        <v>0.7</v>
      </c>
      <c r="F1182" s="32">
        <v>8.4</v>
      </c>
      <c r="G1182" s="33"/>
      <c r="H1182" s="39">
        <f t="shared" si="141"/>
        <v>0</v>
      </c>
    </row>
    <row r="1183" ht="15.0" customHeight="1">
      <c r="A1183" s="27" t="s">
        <v>1448</v>
      </c>
      <c r="B1183" s="28"/>
      <c r="C1183" s="29"/>
      <c r="D1183" s="30"/>
      <c r="E1183" s="31"/>
      <c r="F1183" s="32"/>
      <c r="G1183" s="33"/>
      <c r="H1183" s="39"/>
    </row>
    <row r="1184" ht="15.0" customHeight="1">
      <c r="A1184" s="35" t="s">
        <v>1449</v>
      </c>
      <c r="B1184" s="36" t="s">
        <v>1417</v>
      </c>
      <c r="C1184" s="37">
        <v>12.0</v>
      </c>
      <c r="D1184" s="30">
        <v>8.41052511681E12</v>
      </c>
      <c r="E1184" s="38">
        <v>0.67</v>
      </c>
      <c r="F1184" s="32">
        <v>8.04</v>
      </c>
      <c r="G1184" s="33"/>
      <c r="H1184" s="39">
        <f t="shared" ref="H1184:H1209" si="142">G1184*F1184</f>
        <v>0</v>
      </c>
    </row>
    <row r="1185" ht="15.0" customHeight="1">
      <c r="A1185" s="35" t="s">
        <v>1450</v>
      </c>
      <c r="B1185" s="36" t="s">
        <v>1135</v>
      </c>
      <c r="C1185" s="37">
        <v>12.0</v>
      </c>
      <c r="D1185" s="30">
        <v>8.410525180651E12</v>
      </c>
      <c r="E1185" s="38">
        <v>0.67</v>
      </c>
      <c r="F1185" s="32">
        <v>8.04</v>
      </c>
      <c r="G1185" s="33"/>
      <c r="H1185" s="39">
        <f t="shared" si="142"/>
        <v>0</v>
      </c>
    </row>
    <row r="1186" ht="15.0" customHeight="1">
      <c r="A1186" s="35" t="s">
        <v>1451</v>
      </c>
      <c r="B1186" s="36" t="s">
        <v>1135</v>
      </c>
      <c r="C1186" s="37">
        <v>12.0</v>
      </c>
      <c r="D1186" s="30">
        <v>8.410525183768E12</v>
      </c>
      <c r="E1186" s="38">
        <v>0.67</v>
      </c>
      <c r="F1186" s="32">
        <v>8.04</v>
      </c>
      <c r="G1186" s="33"/>
      <c r="H1186" s="39">
        <f t="shared" si="142"/>
        <v>0</v>
      </c>
    </row>
    <row r="1187" ht="15.0" customHeight="1">
      <c r="A1187" s="35" t="s">
        <v>1452</v>
      </c>
      <c r="B1187" s="36" t="s">
        <v>1135</v>
      </c>
      <c r="C1187" s="37">
        <v>12.0</v>
      </c>
      <c r="D1187" s="30">
        <v>8.410525126482E12</v>
      </c>
      <c r="E1187" s="38">
        <v>0.67</v>
      </c>
      <c r="F1187" s="32">
        <v>8.04</v>
      </c>
      <c r="G1187" s="33"/>
      <c r="H1187" s="39">
        <f t="shared" si="142"/>
        <v>0</v>
      </c>
    </row>
    <row r="1188" ht="15.0" customHeight="1">
      <c r="A1188" s="35" t="s">
        <v>1453</v>
      </c>
      <c r="B1188" s="36" t="s">
        <v>1135</v>
      </c>
      <c r="C1188" s="37">
        <v>12.0</v>
      </c>
      <c r="D1188" s="30">
        <v>8.410525116681E12</v>
      </c>
      <c r="E1188" s="38">
        <v>0.67</v>
      </c>
      <c r="F1188" s="32">
        <v>8.04</v>
      </c>
      <c r="G1188" s="33"/>
      <c r="H1188" s="39">
        <f t="shared" si="142"/>
        <v>0</v>
      </c>
    </row>
    <row r="1189" ht="15.0" customHeight="1">
      <c r="A1189" s="35" t="s">
        <v>1454</v>
      </c>
      <c r="B1189" s="36" t="s">
        <v>1135</v>
      </c>
      <c r="C1189" s="37">
        <v>12.0</v>
      </c>
      <c r="D1189" s="30">
        <v>8.410525150364E12</v>
      </c>
      <c r="E1189" s="38">
        <v>0.67</v>
      </c>
      <c r="F1189" s="32">
        <v>8.04</v>
      </c>
      <c r="G1189" s="33"/>
      <c r="H1189" s="39">
        <f t="shared" si="142"/>
        <v>0</v>
      </c>
    </row>
    <row r="1190" ht="15.0" customHeight="1">
      <c r="A1190" s="35" t="s">
        <v>1455</v>
      </c>
      <c r="B1190" s="36" t="s">
        <v>1135</v>
      </c>
      <c r="C1190" s="37">
        <v>12.0</v>
      </c>
      <c r="D1190" s="30">
        <v>8.410525202575E12</v>
      </c>
      <c r="E1190" s="38">
        <v>0.67</v>
      </c>
      <c r="F1190" s="32">
        <v>8.04</v>
      </c>
      <c r="G1190" s="33"/>
      <c r="H1190" s="39">
        <f t="shared" si="142"/>
        <v>0</v>
      </c>
    </row>
    <row r="1191" ht="15.0" customHeight="1">
      <c r="A1191" s="35" t="s">
        <v>1456</v>
      </c>
      <c r="B1191" s="36" t="s">
        <v>1135</v>
      </c>
      <c r="C1191" s="37">
        <v>12.0</v>
      </c>
      <c r="D1191" s="30">
        <v>8.410525125973E12</v>
      </c>
      <c r="E1191" s="38">
        <v>0.67</v>
      </c>
      <c r="F1191" s="32">
        <v>8.04</v>
      </c>
      <c r="G1191" s="33"/>
      <c r="H1191" s="39">
        <f t="shared" si="142"/>
        <v>0</v>
      </c>
    </row>
    <row r="1192" ht="15.0" customHeight="1">
      <c r="A1192" s="35" t="s">
        <v>1457</v>
      </c>
      <c r="B1192" s="36" t="s">
        <v>1135</v>
      </c>
      <c r="C1192" s="37">
        <v>12.0</v>
      </c>
      <c r="D1192" s="30">
        <v>8.410525125782E12</v>
      </c>
      <c r="E1192" s="38">
        <v>0.67</v>
      </c>
      <c r="F1192" s="32">
        <v>8.04</v>
      </c>
      <c r="G1192" s="33"/>
      <c r="H1192" s="39">
        <f t="shared" si="142"/>
        <v>0</v>
      </c>
    </row>
    <row r="1193" ht="15.0" customHeight="1">
      <c r="A1193" s="35" t="s">
        <v>1458</v>
      </c>
      <c r="B1193" s="36" t="s">
        <v>1135</v>
      </c>
      <c r="C1193" s="37">
        <v>12.0</v>
      </c>
      <c r="D1193" s="30">
        <v>8.410525144264E12</v>
      </c>
      <c r="E1193" s="38">
        <v>0.67</v>
      </c>
      <c r="F1193" s="32">
        <v>8.04</v>
      </c>
      <c r="G1193" s="33"/>
      <c r="H1193" s="39">
        <f t="shared" si="142"/>
        <v>0</v>
      </c>
    </row>
    <row r="1194" ht="15.0" customHeight="1">
      <c r="A1194" s="35" t="s">
        <v>1459</v>
      </c>
      <c r="B1194" s="36" t="s">
        <v>1135</v>
      </c>
      <c r="C1194" s="37">
        <v>12.0</v>
      </c>
      <c r="D1194" s="30">
        <v>8.410525116735E12</v>
      </c>
      <c r="E1194" s="38">
        <v>0.67</v>
      </c>
      <c r="F1194" s="32">
        <v>8.04</v>
      </c>
      <c r="G1194" s="33"/>
      <c r="H1194" s="39">
        <f t="shared" si="142"/>
        <v>0</v>
      </c>
    </row>
    <row r="1195" ht="15.0" customHeight="1">
      <c r="A1195" s="35" t="s">
        <v>1460</v>
      </c>
      <c r="B1195" s="36" t="s">
        <v>1135</v>
      </c>
      <c r="C1195" s="37">
        <v>12.0</v>
      </c>
      <c r="D1195" s="30">
        <v>8.410525125959E12</v>
      </c>
      <c r="E1195" s="38">
        <v>0.67</v>
      </c>
      <c r="F1195" s="32">
        <v>8.04</v>
      </c>
      <c r="G1195" s="33"/>
      <c r="H1195" s="39">
        <f t="shared" si="142"/>
        <v>0</v>
      </c>
    </row>
    <row r="1196" ht="15.0" customHeight="1">
      <c r="A1196" s="49" t="s">
        <v>1461</v>
      </c>
      <c r="B1196" s="54" t="s">
        <v>1135</v>
      </c>
      <c r="C1196" s="56">
        <v>12.0</v>
      </c>
      <c r="D1196" s="106">
        <v>8.410525183775E12</v>
      </c>
      <c r="E1196" s="55">
        <v>0.67</v>
      </c>
      <c r="F1196" s="59">
        <v>8.04</v>
      </c>
      <c r="G1196" s="33"/>
      <c r="H1196" s="39">
        <f t="shared" si="142"/>
        <v>0</v>
      </c>
    </row>
    <row r="1197" ht="15.0" customHeight="1">
      <c r="A1197" s="49" t="s">
        <v>1462</v>
      </c>
      <c r="B1197" s="54" t="s">
        <v>1463</v>
      </c>
      <c r="C1197" s="56">
        <v>12.0</v>
      </c>
      <c r="D1197" s="106">
        <v>8.410525151743E12</v>
      </c>
      <c r="E1197" s="55">
        <v>0.67</v>
      </c>
      <c r="F1197" s="59">
        <v>8.04</v>
      </c>
      <c r="G1197" s="33"/>
      <c r="H1197" s="39">
        <f t="shared" si="142"/>
        <v>0</v>
      </c>
    </row>
    <row r="1198" ht="15.0" customHeight="1">
      <c r="A1198" s="35" t="s">
        <v>1464</v>
      </c>
      <c r="B1198" s="36" t="s">
        <v>1135</v>
      </c>
      <c r="C1198" s="37">
        <v>12.0</v>
      </c>
      <c r="D1198" s="30">
        <v>8.41052511678E12</v>
      </c>
      <c r="E1198" s="38">
        <v>0.67</v>
      </c>
      <c r="F1198" s="32">
        <v>8.04</v>
      </c>
      <c r="G1198" s="33"/>
      <c r="H1198" s="39">
        <f t="shared" si="142"/>
        <v>0</v>
      </c>
    </row>
    <row r="1199" ht="15.0" customHeight="1">
      <c r="A1199" s="35" t="s">
        <v>1465</v>
      </c>
      <c r="B1199" s="36" t="s">
        <v>1135</v>
      </c>
      <c r="C1199" s="37">
        <v>12.0</v>
      </c>
      <c r="D1199" s="30">
        <v>8.410525261763E12</v>
      </c>
      <c r="E1199" s="38">
        <v>0.67</v>
      </c>
      <c r="F1199" s="32">
        <v>8.04</v>
      </c>
      <c r="G1199" s="33"/>
      <c r="H1199" s="39">
        <f t="shared" si="142"/>
        <v>0</v>
      </c>
    </row>
    <row r="1200" ht="15.0" customHeight="1">
      <c r="A1200" s="35" t="s">
        <v>1466</v>
      </c>
      <c r="B1200" s="36" t="s">
        <v>1135</v>
      </c>
      <c r="C1200" s="37">
        <v>12.0</v>
      </c>
      <c r="D1200" s="30">
        <v>8.410525246739E12</v>
      </c>
      <c r="E1200" s="38">
        <v>0.67</v>
      </c>
      <c r="F1200" s="32">
        <v>8.04</v>
      </c>
      <c r="G1200" s="33"/>
      <c r="H1200" s="39">
        <f t="shared" si="142"/>
        <v>0</v>
      </c>
    </row>
    <row r="1201" ht="15.0" customHeight="1">
      <c r="A1201" s="49" t="s">
        <v>1467</v>
      </c>
      <c r="B1201" s="54" t="s">
        <v>1133</v>
      </c>
      <c r="C1201" s="56">
        <v>12.0</v>
      </c>
      <c r="D1201" s="106">
        <v>8.410525277702E12</v>
      </c>
      <c r="E1201" s="38">
        <v>0.67</v>
      </c>
      <c r="F1201" s="32">
        <v>8.04</v>
      </c>
      <c r="G1201" s="33"/>
      <c r="H1201" s="39">
        <f t="shared" si="142"/>
        <v>0</v>
      </c>
    </row>
    <row r="1202" ht="15.0" customHeight="1">
      <c r="A1202" s="49" t="s">
        <v>1468</v>
      </c>
      <c r="B1202" s="54" t="s">
        <v>1133</v>
      </c>
      <c r="C1202" s="56">
        <v>12.0</v>
      </c>
      <c r="D1202" s="106">
        <v>8.410525263057E12</v>
      </c>
      <c r="E1202" s="55">
        <v>0.67</v>
      </c>
      <c r="F1202" s="59">
        <v>8.04</v>
      </c>
      <c r="G1202" s="33"/>
      <c r="H1202" s="39">
        <f t="shared" si="142"/>
        <v>0</v>
      </c>
    </row>
    <row r="1203" ht="15.0" customHeight="1">
      <c r="A1203" s="35" t="s">
        <v>1469</v>
      </c>
      <c r="B1203" s="36" t="s">
        <v>1135</v>
      </c>
      <c r="C1203" s="37">
        <v>12.0</v>
      </c>
      <c r="D1203" s="30">
        <v>8.410525206184E12</v>
      </c>
      <c r="E1203" s="38">
        <v>0.67</v>
      </c>
      <c r="F1203" s="32">
        <v>8.04</v>
      </c>
      <c r="G1203" s="33"/>
      <c r="H1203" s="39">
        <f t="shared" si="142"/>
        <v>0</v>
      </c>
    </row>
    <row r="1204" ht="15.0" customHeight="1">
      <c r="A1204" s="35" t="s">
        <v>1470</v>
      </c>
      <c r="B1204" s="36" t="s">
        <v>1135</v>
      </c>
      <c r="C1204" s="37">
        <v>12.0</v>
      </c>
      <c r="D1204" s="30">
        <v>8.41052520616E12</v>
      </c>
      <c r="E1204" s="38">
        <v>0.67</v>
      </c>
      <c r="F1204" s="32">
        <v>8.04</v>
      </c>
      <c r="G1204" s="33"/>
      <c r="H1204" s="39">
        <f t="shared" si="142"/>
        <v>0</v>
      </c>
    </row>
    <row r="1205" ht="15.0" customHeight="1">
      <c r="A1205" s="35" t="s">
        <v>1471</v>
      </c>
      <c r="B1205" s="36" t="s">
        <v>1133</v>
      </c>
      <c r="C1205" s="37">
        <v>12.0</v>
      </c>
      <c r="D1205" s="30">
        <v>8.410525211065E12</v>
      </c>
      <c r="E1205" s="38">
        <v>0.67</v>
      </c>
      <c r="F1205" s="32">
        <v>8.04</v>
      </c>
      <c r="G1205" s="33"/>
      <c r="H1205" s="39">
        <f t="shared" si="142"/>
        <v>0</v>
      </c>
    </row>
    <row r="1206" ht="15.0" customHeight="1">
      <c r="A1206" s="35" t="s">
        <v>1472</v>
      </c>
      <c r="B1206" s="36" t="s">
        <v>1133</v>
      </c>
      <c r="C1206" s="37">
        <v>12.0</v>
      </c>
      <c r="D1206" s="30">
        <v>8.410525206191E12</v>
      </c>
      <c r="E1206" s="38">
        <v>0.67</v>
      </c>
      <c r="F1206" s="32">
        <v>8.04</v>
      </c>
      <c r="G1206" s="33"/>
      <c r="H1206" s="39">
        <f t="shared" si="142"/>
        <v>0</v>
      </c>
    </row>
    <row r="1207" ht="15.0" customHeight="1">
      <c r="A1207" s="35" t="s">
        <v>1473</v>
      </c>
      <c r="B1207" s="36" t="s">
        <v>1135</v>
      </c>
      <c r="C1207" s="37">
        <v>12.0</v>
      </c>
      <c r="D1207" s="30">
        <v>8.410525211096E12</v>
      </c>
      <c r="E1207" s="38">
        <v>0.67</v>
      </c>
      <c r="F1207" s="32">
        <v>8.04</v>
      </c>
      <c r="G1207" s="33"/>
      <c r="H1207" s="39">
        <f t="shared" si="142"/>
        <v>0</v>
      </c>
    </row>
    <row r="1208" ht="15.0" customHeight="1">
      <c r="A1208" s="35" t="s">
        <v>1474</v>
      </c>
      <c r="B1208" s="36" t="s">
        <v>1133</v>
      </c>
      <c r="C1208" s="37">
        <v>12.0</v>
      </c>
      <c r="D1208" s="30">
        <v>8.410525206146E12</v>
      </c>
      <c r="E1208" s="38">
        <v>0.67</v>
      </c>
      <c r="F1208" s="32">
        <v>8.04</v>
      </c>
      <c r="G1208" s="33"/>
      <c r="H1208" s="39">
        <f t="shared" si="142"/>
        <v>0</v>
      </c>
    </row>
    <row r="1209" ht="15.0" customHeight="1">
      <c r="A1209" s="35" t="s">
        <v>1475</v>
      </c>
      <c r="B1209" s="36" t="s">
        <v>1135</v>
      </c>
      <c r="C1209" s="37">
        <v>12.0</v>
      </c>
      <c r="D1209" s="30">
        <v>8.410525206177E12</v>
      </c>
      <c r="E1209" s="38">
        <v>0.67</v>
      </c>
      <c r="F1209" s="32">
        <v>8.04</v>
      </c>
      <c r="G1209" s="33"/>
      <c r="H1209" s="39">
        <f t="shared" si="142"/>
        <v>0</v>
      </c>
    </row>
    <row r="1210" ht="15.0" customHeight="1">
      <c r="A1210" s="137" t="s">
        <v>1476</v>
      </c>
      <c r="B1210" s="54"/>
      <c r="C1210" s="56"/>
      <c r="D1210" s="71"/>
      <c r="E1210" s="31"/>
      <c r="F1210" s="59"/>
      <c r="G1210" s="33"/>
      <c r="H1210" s="39"/>
    </row>
    <row r="1211" ht="15.0" customHeight="1">
      <c r="A1211" s="35" t="s">
        <v>1477</v>
      </c>
      <c r="B1211" s="36" t="s">
        <v>1133</v>
      </c>
      <c r="C1211" s="37">
        <v>12.0</v>
      </c>
      <c r="D1211" s="30">
        <v>8.410525216503E12</v>
      </c>
      <c r="E1211" s="38">
        <v>0.7</v>
      </c>
      <c r="F1211" s="32">
        <v>8.4</v>
      </c>
      <c r="G1211" s="33"/>
      <c r="H1211" s="39">
        <f t="shared" ref="H1211:H1213" si="143">G1211*F1211</f>
        <v>0</v>
      </c>
    </row>
    <row r="1212" ht="15.0" customHeight="1">
      <c r="A1212" s="49" t="s">
        <v>1478</v>
      </c>
      <c r="B1212" s="54" t="s">
        <v>1133</v>
      </c>
      <c r="C1212" s="56">
        <v>12.0</v>
      </c>
      <c r="D1212" s="106">
        <v>8.41052526304E12</v>
      </c>
      <c r="E1212" s="55">
        <v>0.8</v>
      </c>
      <c r="F1212" s="59">
        <v>9.6</v>
      </c>
      <c r="G1212" s="33"/>
      <c r="H1212" s="39">
        <f t="shared" si="143"/>
        <v>0</v>
      </c>
    </row>
    <row r="1213" ht="15.0" customHeight="1">
      <c r="A1213" s="49" t="s">
        <v>1479</v>
      </c>
      <c r="B1213" s="54" t="s">
        <v>1133</v>
      </c>
      <c r="C1213" s="56">
        <v>12.0</v>
      </c>
      <c r="D1213" s="106">
        <v>8.410525266379E12</v>
      </c>
      <c r="E1213" s="55">
        <v>0.8</v>
      </c>
      <c r="F1213" s="59">
        <v>9.6</v>
      </c>
      <c r="G1213" s="33"/>
      <c r="H1213" s="39">
        <f t="shared" si="143"/>
        <v>0</v>
      </c>
    </row>
    <row r="1214" ht="15.0" customHeight="1">
      <c r="A1214" s="27" t="s">
        <v>1480</v>
      </c>
      <c r="B1214" s="28"/>
      <c r="C1214" s="29"/>
      <c r="D1214" s="30"/>
      <c r="E1214" s="31"/>
      <c r="F1214" s="32"/>
      <c r="G1214" s="33"/>
      <c r="H1214" s="39"/>
    </row>
    <row r="1215" ht="15.0" customHeight="1">
      <c r="A1215" s="35" t="s">
        <v>1481</v>
      </c>
      <c r="B1215" s="36" t="s">
        <v>1133</v>
      </c>
      <c r="C1215" s="37">
        <v>12.0</v>
      </c>
      <c r="D1215" s="30">
        <v>8.410525216022E12</v>
      </c>
      <c r="E1215" s="38">
        <v>0.8</v>
      </c>
      <c r="F1215" s="32">
        <v>9.6</v>
      </c>
      <c r="G1215" s="33"/>
      <c r="H1215" s="39">
        <f t="shared" ref="H1215:H1224" si="144">G1215*F1215</f>
        <v>0</v>
      </c>
    </row>
    <row r="1216" ht="15.0" customHeight="1">
      <c r="A1216" s="35" t="s">
        <v>1482</v>
      </c>
      <c r="B1216" s="36" t="s">
        <v>1133</v>
      </c>
      <c r="C1216" s="37">
        <v>12.0</v>
      </c>
      <c r="D1216" s="30">
        <v>8.410525221071E12</v>
      </c>
      <c r="E1216" s="38">
        <v>0.8</v>
      </c>
      <c r="F1216" s="32">
        <v>9.6</v>
      </c>
      <c r="G1216" s="33"/>
      <c r="H1216" s="39">
        <f t="shared" si="144"/>
        <v>0</v>
      </c>
    </row>
    <row r="1217" ht="15.0" customHeight="1">
      <c r="A1217" s="35" t="s">
        <v>1483</v>
      </c>
      <c r="B1217" s="36" t="s">
        <v>1133</v>
      </c>
      <c r="C1217" s="37">
        <v>12.0</v>
      </c>
      <c r="D1217" s="30">
        <v>8.410525180187E12</v>
      </c>
      <c r="E1217" s="38">
        <v>0.8</v>
      </c>
      <c r="F1217" s="32">
        <v>9.6</v>
      </c>
      <c r="G1217" s="33"/>
      <c r="H1217" s="39">
        <f t="shared" si="144"/>
        <v>0</v>
      </c>
    </row>
    <row r="1218" ht="15.0" customHeight="1">
      <c r="A1218" s="35" t="s">
        <v>1484</v>
      </c>
      <c r="B1218" s="36" t="s">
        <v>1133</v>
      </c>
      <c r="C1218" s="37">
        <v>12.0</v>
      </c>
      <c r="D1218" s="30">
        <v>8.410525220562E12</v>
      </c>
      <c r="E1218" s="38">
        <v>0.8</v>
      </c>
      <c r="F1218" s="32">
        <v>9.6</v>
      </c>
      <c r="G1218" s="33"/>
      <c r="H1218" s="39">
        <f t="shared" si="144"/>
        <v>0</v>
      </c>
    </row>
    <row r="1219" ht="15.0" customHeight="1">
      <c r="A1219" s="35" t="s">
        <v>1485</v>
      </c>
      <c r="B1219" s="36" t="s">
        <v>1133</v>
      </c>
      <c r="C1219" s="37">
        <v>12.0</v>
      </c>
      <c r="D1219" s="30">
        <v>8.410525225888E12</v>
      </c>
      <c r="E1219" s="38">
        <v>0.8</v>
      </c>
      <c r="F1219" s="32">
        <v>9.6</v>
      </c>
      <c r="G1219" s="33"/>
      <c r="H1219" s="39">
        <f t="shared" si="144"/>
        <v>0</v>
      </c>
    </row>
    <row r="1220" ht="15.0" customHeight="1">
      <c r="A1220" s="35" t="s">
        <v>1486</v>
      </c>
      <c r="B1220" s="36" t="s">
        <v>1133</v>
      </c>
      <c r="C1220" s="37">
        <v>12.0</v>
      </c>
      <c r="D1220" s="30">
        <v>8.410525228193E12</v>
      </c>
      <c r="E1220" s="38">
        <v>0.8</v>
      </c>
      <c r="F1220" s="32">
        <v>9.6</v>
      </c>
      <c r="G1220" s="33"/>
      <c r="H1220" s="39">
        <f t="shared" si="144"/>
        <v>0</v>
      </c>
    </row>
    <row r="1221" ht="15.0" customHeight="1">
      <c r="A1221" s="35" t="s">
        <v>1487</v>
      </c>
      <c r="B1221" s="36" t="s">
        <v>1133</v>
      </c>
      <c r="C1221" s="37">
        <v>12.0</v>
      </c>
      <c r="D1221" s="30">
        <v>8.410525259913E12</v>
      </c>
      <c r="E1221" s="38">
        <v>0.8</v>
      </c>
      <c r="F1221" s="32">
        <v>9.6</v>
      </c>
      <c r="G1221" s="33"/>
      <c r="H1221" s="39">
        <f t="shared" si="144"/>
        <v>0</v>
      </c>
    </row>
    <row r="1222" ht="15.0" customHeight="1">
      <c r="A1222" s="35" t="s">
        <v>1488</v>
      </c>
      <c r="B1222" s="36" t="s">
        <v>1059</v>
      </c>
      <c r="C1222" s="37">
        <v>1.0</v>
      </c>
      <c r="D1222" s="30" t="s">
        <v>1059</v>
      </c>
      <c r="E1222" s="31"/>
      <c r="F1222" s="32"/>
      <c r="G1222" s="33"/>
      <c r="H1222" s="39">
        <f t="shared" si="144"/>
        <v>0</v>
      </c>
    </row>
    <row r="1223" ht="15.0" customHeight="1">
      <c r="A1223" s="35" t="s">
        <v>1489</v>
      </c>
      <c r="B1223" s="36" t="s">
        <v>1059</v>
      </c>
      <c r="C1223" s="37">
        <v>1.0</v>
      </c>
      <c r="D1223" s="30" t="s">
        <v>1059</v>
      </c>
      <c r="E1223" s="31"/>
      <c r="F1223" s="32"/>
      <c r="G1223" s="33"/>
      <c r="H1223" s="39">
        <f t="shared" si="144"/>
        <v>0</v>
      </c>
    </row>
    <row r="1224" ht="15.0" customHeight="1">
      <c r="A1224" s="35" t="s">
        <v>1490</v>
      </c>
      <c r="B1224" s="36" t="s">
        <v>1059</v>
      </c>
      <c r="C1224" s="37">
        <v>1.0</v>
      </c>
      <c r="D1224" s="30" t="s">
        <v>1059</v>
      </c>
      <c r="E1224" s="31"/>
      <c r="F1224" s="32"/>
      <c r="G1224" s="33"/>
      <c r="H1224" s="39">
        <f t="shared" si="144"/>
        <v>0</v>
      </c>
    </row>
    <row r="1225" ht="15.0" customHeight="1">
      <c r="A1225" s="27" t="s">
        <v>1491</v>
      </c>
      <c r="B1225" s="123"/>
      <c r="C1225" s="124"/>
      <c r="D1225" s="30"/>
      <c r="E1225" s="31"/>
      <c r="F1225" s="32"/>
      <c r="G1225" s="33"/>
      <c r="H1225" s="39"/>
    </row>
    <row r="1226" ht="15.0" customHeight="1">
      <c r="A1226" s="35" t="s">
        <v>1492</v>
      </c>
      <c r="B1226" s="36" t="s">
        <v>1493</v>
      </c>
      <c r="C1226" s="37">
        <v>30.0</v>
      </c>
      <c r="D1226" s="30">
        <v>8.410525238338E12</v>
      </c>
      <c r="E1226" s="38">
        <v>1.25</v>
      </c>
      <c r="F1226" s="32">
        <v>37.5</v>
      </c>
      <c r="G1226" s="33"/>
      <c r="H1226" s="39">
        <f t="shared" ref="H1226:H1231" si="145">G1226*F1226</f>
        <v>0</v>
      </c>
    </row>
    <row r="1227" ht="15.0" customHeight="1">
      <c r="A1227" s="35" t="s">
        <v>1494</v>
      </c>
      <c r="B1227" s="36" t="s">
        <v>1288</v>
      </c>
      <c r="C1227" s="37">
        <v>18.0</v>
      </c>
      <c r="D1227" s="30">
        <v>8.410525183096E12</v>
      </c>
      <c r="E1227" s="38">
        <v>4.5</v>
      </c>
      <c r="F1227" s="32">
        <v>81.0</v>
      </c>
      <c r="G1227" s="33"/>
      <c r="H1227" s="39">
        <f t="shared" si="145"/>
        <v>0</v>
      </c>
    </row>
    <row r="1228" ht="15.0" customHeight="1">
      <c r="A1228" s="35" t="s">
        <v>1495</v>
      </c>
      <c r="B1228" s="36" t="s">
        <v>1279</v>
      </c>
      <c r="C1228" s="37">
        <v>40.0</v>
      </c>
      <c r="D1228" s="30">
        <v>8.410525127892E12</v>
      </c>
      <c r="E1228" s="38">
        <v>0.25</v>
      </c>
      <c r="F1228" s="32">
        <v>10.0</v>
      </c>
      <c r="G1228" s="33"/>
      <c r="H1228" s="39">
        <f t="shared" si="145"/>
        <v>0</v>
      </c>
    </row>
    <row r="1229" ht="15.0" customHeight="1">
      <c r="A1229" s="43" t="s">
        <v>1496</v>
      </c>
      <c r="B1229" s="36" t="s">
        <v>1279</v>
      </c>
      <c r="C1229" s="37">
        <v>18.0</v>
      </c>
      <c r="D1229" s="30">
        <v>8.410525275012E12</v>
      </c>
      <c r="E1229" s="38">
        <v>0.25</v>
      </c>
      <c r="F1229" s="32">
        <v>4.5</v>
      </c>
      <c r="G1229" s="33"/>
      <c r="H1229" s="39">
        <f t="shared" si="145"/>
        <v>0</v>
      </c>
    </row>
    <row r="1230" ht="15.0" customHeight="1">
      <c r="A1230" s="35" t="s">
        <v>1497</v>
      </c>
      <c r="B1230" s="36" t="s">
        <v>1279</v>
      </c>
      <c r="C1230" s="37">
        <v>18.0</v>
      </c>
      <c r="D1230" s="30">
        <v>8.410525159046E12</v>
      </c>
      <c r="E1230" s="38">
        <v>0.25</v>
      </c>
      <c r="F1230" s="32">
        <v>4.5</v>
      </c>
      <c r="G1230" s="33"/>
      <c r="H1230" s="39">
        <f t="shared" si="145"/>
        <v>0</v>
      </c>
    </row>
    <row r="1231" ht="15.0" customHeight="1">
      <c r="A1231" s="35" t="s">
        <v>1498</v>
      </c>
      <c r="B1231" s="36" t="s">
        <v>1279</v>
      </c>
      <c r="C1231" s="37">
        <v>40.0</v>
      </c>
      <c r="D1231" s="30">
        <v>8.410525200175E12</v>
      </c>
      <c r="E1231" s="38">
        <v>0.25</v>
      </c>
      <c r="F1231" s="32">
        <v>10.0</v>
      </c>
      <c r="G1231" s="33"/>
      <c r="H1231" s="39">
        <f t="shared" si="145"/>
        <v>0</v>
      </c>
    </row>
    <row r="1232" ht="15.0" customHeight="1">
      <c r="A1232" s="27" t="s">
        <v>1499</v>
      </c>
      <c r="B1232" s="123"/>
      <c r="C1232" s="124"/>
      <c r="D1232" s="30"/>
      <c r="E1232" s="31"/>
      <c r="F1232" s="32"/>
      <c r="G1232" s="33"/>
      <c r="H1232" s="39"/>
    </row>
    <row r="1233" ht="15.0" customHeight="1">
      <c r="A1233" s="49" t="s">
        <v>1500</v>
      </c>
      <c r="B1233" s="54" t="s">
        <v>1501</v>
      </c>
      <c r="C1233" s="56">
        <v>50.0</v>
      </c>
      <c r="D1233" s="47" t="s">
        <v>1502</v>
      </c>
      <c r="E1233" s="55">
        <v>0.4</v>
      </c>
      <c r="F1233" s="32">
        <v>20.0</v>
      </c>
      <c r="G1233" s="33"/>
      <c r="H1233" s="39">
        <f t="shared" ref="H1233:H1261" si="146">G1233*F1233</f>
        <v>0</v>
      </c>
    </row>
    <row r="1234" ht="15.0" customHeight="1">
      <c r="A1234" s="49" t="s">
        <v>1503</v>
      </c>
      <c r="B1234" s="54" t="s">
        <v>1501</v>
      </c>
      <c r="C1234" s="56">
        <v>50.0</v>
      </c>
      <c r="D1234" s="47" t="s">
        <v>1504</v>
      </c>
      <c r="E1234" s="55">
        <v>0.4</v>
      </c>
      <c r="F1234" s="32">
        <v>20.0</v>
      </c>
      <c r="G1234" s="33"/>
      <c r="H1234" s="39">
        <f t="shared" si="146"/>
        <v>0</v>
      </c>
    </row>
    <row r="1235" ht="15.0" customHeight="1">
      <c r="A1235" s="49" t="s">
        <v>1505</v>
      </c>
      <c r="B1235" s="54" t="s">
        <v>1501</v>
      </c>
      <c r="C1235" s="56">
        <v>50.0</v>
      </c>
      <c r="D1235" s="47" t="s">
        <v>1506</v>
      </c>
      <c r="E1235" s="55">
        <v>0.4</v>
      </c>
      <c r="F1235" s="32">
        <v>20.0</v>
      </c>
      <c r="G1235" s="33"/>
      <c r="H1235" s="39">
        <f t="shared" si="146"/>
        <v>0</v>
      </c>
    </row>
    <row r="1236" ht="15.0" customHeight="1">
      <c r="A1236" s="49" t="s">
        <v>1507</v>
      </c>
      <c r="B1236" s="54" t="s">
        <v>1508</v>
      </c>
      <c r="C1236" s="56">
        <v>15.0</v>
      </c>
      <c r="D1236" s="47" t="s">
        <v>1509</v>
      </c>
      <c r="E1236" s="55">
        <v>1.25</v>
      </c>
      <c r="F1236" s="32">
        <v>18.75</v>
      </c>
      <c r="G1236" s="33"/>
      <c r="H1236" s="39">
        <f t="shared" si="146"/>
        <v>0</v>
      </c>
    </row>
    <row r="1237" ht="15.0" customHeight="1">
      <c r="A1237" s="49" t="s">
        <v>1510</v>
      </c>
      <c r="B1237" s="54" t="s">
        <v>1511</v>
      </c>
      <c r="C1237" s="56">
        <v>12.0</v>
      </c>
      <c r="D1237" s="47" t="s">
        <v>1512</v>
      </c>
      <c r="E1237" s="55">
        <v>1.15</v>
      </c>
      <c r="F1237" s="32">
        <v>13.8</v>
      </c>
      <c r="G1237" s="33"/>
      <c r="H1237" s="39">
        <f t="shared" si="146"/>
        <v>0</v>
      </c>
    </row>
    <row r="1238" ht="15.0" customHeight="1">
      <c r="A1238" s="49" t="s">
        <v>1513</v>
      </c>
      <c r="B1238" s="54" t="s">
        <v>1514</v>
      </c>
      <c r="C1238" s="46">
        <v>8.0</v>
      </c>
      <c r="D1238" s="47" t="s">
        <v>1515</v>
      </c>
      <c r="E1238" s="170">
        <v>1.2</v>
      </c>
      <c r="F1238" s="32">
        <v>14.4</v>
      </c>
      <c r="G1238" s="33"/>
      <c r="H1238" s="39">
        <f t="shared" si="146"/>
        <v>0</v>
      </c>
    </row>
    <row r="1239" ht="15.0" customHeight="1">
      <c r="A1239" s="171" t="s">
        <v>1516</v>
      </c>
      <c r="B1239" s="135" t="s">
        <v>1176</v>
      </c>
      <c r="C1239" s="172">
        <v>12.0</v>
      </c>
      <c r="D1239" s="71" t="s">
        <v>1517</v>
      </c>
      <c r="E1239" s="55">
        <v>2.45</v>
      </c>
      <c r="F1239" s="32">
        <v>29.4</v>
      </c>
      <c r="G1239" s="33"/>
      <c r="H1239" s="39">
        <f t="shared" si="146"/>
        <v>0</v>
      </c>
    </row>
    <row r="1240" ht="15.0" customHeight="1">
      <c r="A1240" s="171" t="s">
        <v>1518</v>
      </c>
      <c r="B1240" s="135" t="s">
        <v>1176</v>
      </c>
      <c r="C1240" s="172">
        <v>12.0</v>
      </c>
      <c r="D1240" s="106" t="s">
        <v>1519</v>
      </c>
      <c r="E1240" s="55">
        <v>2.45</v>
      </c>
      <c r="F1240" s="32">
        <v>29.4</v>
      </c>
      <c r="G1240" s="33"/>
      <c r="H1240" s="39">
        <f t="shared" si="146"/>
        <v>0</v>
      </c>
    </row>
    <row r="1241" ht="15.0" customHeight="1">
      <c r="A1241" s="171" t="s">
        <v>1520</v>
      </c>
      <c r="B1241" s="135" t="s">
        <v>1176</v>
      </c>
      <c r="C1241" s="172">
        <v>12.0</v>
      </c>
      <c r="D1241" s="89" t="s">
        <v>1521</v>
      </c>
      <c r="E1241" s="55">
        <v>2.45</v>
      </c>
      <c r="F1241" s="32">
        <v>29.4</v>
      </c>
      <c r="G1241" s="33"/>
      <c r="H1241" s="39">
        <f t="shared" si="146"/>
        <v>0</v>
      </c>
    </row>
    <row r="1242" ht="15.0" customHeight="1">
      <c r="A1242" s="157" t="s">
        <v>1522</v>
      </c>
      <c r="B1242" s="135" t="s">
        <v>1523</v>
      </c>
      <c r="C1242" s="172">
        <v>36.0</v>
      </c>
      <c r="D1242" s="106">
        <v>1.23000013178E12</v>
      </c>
      <c r="E1242" s="55">
        <v>1.95</v>
      </c>
      <c r="F1242" s="32">
        <v>70.2</v>
      </c>
      <c r="G1242" s="33"/>
      <c r="H1242" s="39">
        <f t="shared" si="146"/>
        <v>0</v>
      </c>
    </row>
    <row r="1243" ht="15.0" customHeight="1">
      <c r="A1243" s="157" t="s">
        <v>1524</v>
      </c>
      <c r="B1243" s="135" t="s">
        <v>1523</v>
      </c>
      <c r="C1243" s="172">
        <v>36.0</v>
      </c>
      <c r="D1243" s="106">
        <v>1.230000131827E12</v>
      </c>
      <c r="E1243" s="55">
        <v>1.95</v>
      </c>
      <c r="F1243" s="32">
        <v>70.2</v>
      </c>
      <c r="G1243" s="33"/>
      <c r="H1243" s="39">
        <f t="shared" si="146"/>
        <v>0</v>
      </c>
    </row>
    <row r="1244" ht="15.0" customHeight="1">
      <c r="A1244" s="171" t="s">
        <v>1525</v>
      </c>
      <c r="B1244" s="36" t="s">
        <v>1526</v>
      </c>
      <c r="C1244" s="145">
        <v>24.0</v>
      </c>
      <c r="D1244" s="71" t="s">
        <v>1527</v>
      </c>
      <c r="E1244" s="55">
        <v>2.99</v>
      </c>
      <c r="F1244" s="36">
        <f>E1244*C1244</f>
        <v>71.76</v>
      </c>
      <c r="G1244" s="34"/>
      <c r="H1244" s="39">
        <f t="shared" si="146"/>
        <v>0</v>
      </c>
    </row>
    <row r="1245" ht="15.0" customHeight="1">
      <c r="A1245" s="35" t="s">
        <v>1528</v>
      </c>
      <c r="B1245" s="36" t="s">
        <v>1188</v>
      </c>
      <c r="C1245" s="37">
        <v>12.0</v>
      </c>
      <c r="D1245" s="30">
        <v>3.58840026277E12</v>
      </c>
      <c r="E1245" s="38">
        <v>1.25</v>
      </c>
      <c r="F1245" s="32">
        <v>15.0</v>
      </c>
      <c r="G1245" s="33"/>
      <c r="H1245" s="39">
        <f t="shared" si="146"/>
        <v>0</v>
      </c>
    </row>
    <row r="1246" ht="15.0" customHeight="1">
      <c r="A1246" s="35" t="s">
        <v>1529</v>
      </c>
      <c r="B1246" s="36" t="s">
        <v>1353</v>
      </c>
      <c r="C1246" s="37">
        <v>24.0</v>
      </c>
      <c r="D1246" s="30">
        <v>3.588400256328E12</v>
      </c>
      <c r="E1246" s="38">
        <v>1.25</v>
      </c>
      <c r="F1246" s="32">
        <v>30.0</v>
      </c>
      <c r="G1246" s="33"/>
      <c r="H1246" s="39">
        <f t="shared" si="146"/>
        <v>0</v>
      </c>
    </row>
    <row r="1247" ht="15.0" customHeight="1">
      <c r="A1247" s="49" t="s">
        <v>1530</v>
      </c>
      <c r="B1247" s="54" t="s">
        <v>1531</v>
      </c>
      <c r="C1247" s="56">
        <v>24.0</v>
      </c>
      <c r="D1247" s="47" t="s">
        <v>1532</v>
      </c>
      <c r="E1247" s="38">
        <v>1.25</v>
      </c>
      <c r="F1247" s="32">
        <v>30.0</v>
      </c>
      <c r="G1247" s="33"/>
      <c r="H1247" s="39">
        <f t="shared" si="146"/>
        <v>0</v>
      </c>
    </row>
    <row r="1248" ht="15.0" customHeight="1">
      <c r="A1248" s="35" t="s">
        <v>1533</v>
      </c>
      <c r="B1248" s="36" t="s">
        <v>1133</v>
      </c>
      <c r="C1248" s="37">
        <v>1.0</v>
      </c>
      <c r="D1248" s="30">
        <v>8.420886901802E12</v>
      </c>
      <c r="E1248" s="38">
        <v>9.3</v>
      </c>
      <c r="F1248" s="32">
        <v>9.3</v>
      </c>
      <c r="G1248" s="33"/>
      <c r="H1248" s="39">
        <f t="shared" si="146"/>
        <v>0</v>
      </c>
    </row>
    <row r="1249" ht="15.0" customHeight="1">
      <c r="A1249" s="35" t="s">
        <v>1534</v>
      </c>
      <c r="B1249" s="36" t="s">
        <v>1535</v>
      </c>
      <c r="C1249" s="37">
        <v>36.0</v>
      </c>
      <c r="D1249" s="72">
        <v>8.992741906906E12</v>
      </c>
      <c r="E1249" s="38">
        <v>0.75</v>
      </c>
      <c r="F1249" s="32">
        <v>27.0</v>
      </c>
      <c r="G1249" s="33"/>
      <c r="H1249" s="39">
        <f t="shared" si="146"/>
        <v>0</v>
      </c>
    </row>
    <row r="1250" ht="15.0" customHeight="1">
      <c r="A1250" s="35" t="s">
        <v>1536</v>
      </c>
      <c r="B1250" s="36" t="s">
        <v>1535</v>
      </c>
      <c r="C1250" s="37">
        <v>18.0</v>
      </c>
      <c r="D1250" s="72">
        <v>8.99274190689E12</v>
      </c>
      <c r="E1250" s="38">
        <v>0.75</v>
      </c>
      <c r="F1250" s="32">
        <v>13.5</v>
      </c>
      <c r="G1250" s="33"/>
      <c r="H1250" s="39">
        <f t="shared" si="146"/>
        <v>0</v>
      </c>
      <c r="J1250" s="40"/>
    </row>
    <row r="1251" ht="15.0" customHeight="1">
      <c r="A1251" s="35" t="s">
        <v>1537</v>
      </c>
      <c r="B1251" s="36" t="s">
        <v>1353</v>
      </c>
      <c r="C1251" s="37">
        <v>180.0</v>
      </c>
      <c r="D1251" s="30">
        <v>4.000512008903E12</v>
      </c>
      <c r="E1251" s="38">
        <v>0.9</v>
      </c>
      <c r="F1251" s="32">
        <v>162.0</v>
      </c>
      <c r="G1251" s="33"/>
      <c r="H1251" s="39">
        <f t="shared" si="146"/>
        <v>0</v>
      </c>
    </row>
    <row r="1252" ht="15.0" customHeight="1">
      <c r="A1252" s="35" t="s">
        <v>1538</v>
      </c>
      <c r="B1252" s="36" t="s">
        <v>1224</v>
      </c>
      <c r="C1252" s="37">
        <v>48.0</v>
      </c>
      <c r="D1252" s="30">
        <v>5.011061161352E12</v>
      </c>
      <c r="E1252" s="38">
        <v>0.99</v>
      </c>
      <c r="F1252" s="32">
        <v>47.52</v>
      </c>
      <c r="G1252" s="33"/>
      <c r="H1252" s="39">
        <f t="shared" si="146"/>
        <v>0</v>
      </c>
    </row>
    <row r="1253" ht="15.0" customHeight="1">
      <c r="A1253" s="35" t="s">
        <v>1539</v>
      </c>
      <c r="B1253" s="36" t="s">
        <v>1224</v>
      </c>
      <c r="C1253" s="37">
        <v>48.0</v>
      </c>
      <c r="D1253" s="30">
        <v>5.011061101617E12</v>
      </c>
      <c r="E1253" s="38">
        <v>0.99</v>
      </c>
      <c r="F1253" s="32">
        <v>47.52</v>
      </c>
      <c r="G1253" s="33"/>
      <c r="H1253" s="39">
        <f t="shared" si="146"/>
        <v>0</v>
      </c>
    </row>
    <row r="1254" ht="15.0" customHeight="1">
      <c r="A1254" s="49" t="s">
        <v>1540</v>
      </c>
      <c r="B1254" s="36" t="s">
        <v>1140</v>
      </c>
      <c r="C1254" s="145">
        <v>8.0</v>
      </c>
      <c r="D1254" s="173" t="s">
        <v>1541</v>
      </c>
      <c r="E1254" s="38">
        <v>2.05</v>
      </c>
      <c r="F1254" s="32">
        <v>24.6</v>
      </c>
      <c r="G1254" s="33"/>
      <c r="H1254" s="39">
        <f t="shared" si="146"/>
        <v>0</v>
      </c>
    </row>
    <row r="1255" ht="15.0" customHeight="1">
      <c r="A1255" s="35" t="s">
        <v>1542</v>
      </c>
      <c r="B1255" s="36" t="s">
        <v>1543</v>
      </c>
      <c r="C1255" s="37">
        <v>21.0</v>
      </c>
      <c r="D1255" s="30">
        <v>4.000512363729E12</v>
      </c>
      <c r="E1255" s="38">
        <v>1.99</v>
      </c>
      <c r="F1255" s="32">
        <v>41.79</v>
      </c>
      <c r="G1255" s="33"/>
      <c r="H1255" s="39">
        <f t="shared" si="146"/>
        <v>0</v>
      </c>
    </row>
    <row r="1256" ht="15.0" customHeight="1">
      <c r="A1256" s="35" t="s">
        <v>1544</v>
      </c>
      <c r="B1256" s="36" t="s">
        <v>1545</v>
      </c>
      <c r="C1256" s="37">
        <v>60.0</v>
      </c>
      <c r="D1256" s="30">
        <v>4.000512992622E12</v>
      </c>
      <c r="E1256" s="38">
        <v>0.65</v>
      </c>
      <c r="F1256" s="32">
        <v>39.0</v>
      </c>
      <c r="G1256" s="33"/>
      <c r="H1256" s="39">
        <f t="shared" si="146"/>
        <v>0</v>
      </c>
    </row>
    <row r="1257" ht="15.0" customHeight="1">
      <c r="A1257" s="35" t="s">
        <v>1546</v>
      </c>
      <c r="B1257" s="36" t="s">
        <v>1501</v>
      </c>
      <c r="C1257" s="37">
        <v>50.0</v>
      </c>
      <c r="D1257" s="30">
        <v>3.588400264972E12</v>
      </c>
      <c r="E1257" s="38">
        <v>0.4</v>
      </c>
      <c r="F1257" s="32">
        <v>20.0</v>
      </c>
      <c r="G1257" s="33"/>
      <c r="H1257" s="39">
        <f t="shared" si="146"/>
        <v>0</v>
      </c>
    </row>
    <row r="1258" ht="15.0" customHeight="1">
      <c r="A1258" s="35" t="s">
        <v>1547</v>
      </c>
      <c r="B1258" s="36" t="s">
        <v>1548</v>
      </c>
      <c r="C1258" s="37">
        <v>36.0</v>
      </c>
      <c r="D1258" s="30">
        <v>5.997255708346E12</v>
      </c>
      <c r="E1258" s="38">
        <v>1.8</v>
      </c>
      <c r="F1258" s="32">
        <v>64.8</v>
      </c>
      <c r="G1258" s="33"/>
      <c r="H1258" s="39">
        <f t="shared" si="146"/>
        <v>0</v>
      </c>
    </row>
    <row r="1259" ht="15.0" customHeight="1">
      <c r="A1259" s="35" t="s">
        <v>1549</v>
      </c>
      <c r="B1259" s="174" t="s">
        <v>1550</v>
      </c>
      <c r="C1259" s="37">
        <v>12.0</v>
      </c>
      <c r="D1259" s="30">
        <v>9.044400897441E12</v>
      </c>
      <c r="E1259" s="38">
        <v>1.85</v>
      </c>
      <c r="F1259" s="32">
        <v>22.2</v>
      </c>
      <c r="G1259" s="33"/>
      <c r="H1259" s="39">
        <f t="shared" si="146"/>
        <v>0</v>
      </c>
    </row>
    <row r="1260" ht="15.0" customHeight="1">
      <c r="A1260" s="49" t="s">
        <v>1551</v>
      </c>
      <c r="B1260" s="54" t="s">
        <v>1552</v>
      </c>
      <c r="C1260" s="56">
        <v>12.0</v>
      </c>
      <c r="D1260" s="47" t="s">
        <v>1553</v>
      </c>
      <c r="E1260" s="38">
        <v>1.45</v>
      </c>
      <c r="F1260" s="32">
        <v>17.4</v>
      </c>
      <c r="G1260" s="33"/>
      <c r="H1260" s="39">
        <f t="shared" si="146"/>
        <v>0</v>
      </c>
    </row>
    <row r="1261" ht="15.0" customHeight="1">
      <c r="A1261" s="49" t="s">
        <v>1554</v>
      </c>
      <c r="B1261" s="54" t="s">
        <v>1552</v>
      </c>
      <c r="C1261" s="56">
        <v>12.0</v>
      </c>
      <c r="D1261" s="47" t="s">
        <v>1555</v>
      </c>
      <c r="E1261" s="38">
        <v>1.45</v>
      </c>
      <c r="F1261" s="32">
        <v>17.4</v>
      </c>
      <c r="G1261" s="33"/>
      <c r="H1261" s="39">
        <f t="shared" si="146"/>
        <v>0</v>
      </c>
    </row>
    <row r="1262" ht="15.0" customHeight="1">
      <c r="A1262" s="27" t="s">
        <v>1556</v>
      </c>
      <c r="B1262" s="123"/>
      <c r="C1262" s="124"/>
      <c r="D1262" s="30"/>
      <c r="E1262" s="31"/>
      <c r="F1262" s="32"/>
      <c r="G1262" s="33"/>
      <c r="H1262" s="39"/>
    </row>
    <row r="1263" ht="15.0" customHeight="1">
      <c r="A1263" s="35" t="s">
        <v>1557</v>
      </c>
      <c r="B1263" s="36" t="s">
        <v>1558</v>
      </c>
      <c r="C1263" s="37">
        <v>22.0</v>
      </c>
      <c r="D1263" s="30">
        <v>3.588400260479E12</v>
      </c>
      <c r="E1263" s="38">
        <v>1.35</v>
      </c>
      <c r="F1263" s="32">
        <v>29.7</v>
      </c>
      <c r="G1263" s="33"/>
      <c r="H1263" s="39">
        <f t="shared" ref="H1263:H1275" si="147">G1263*F1263</f>
        <v>0</v>
      </c>
    </row>
    <row r="1264" ht="15.0" customHeight="1">
      <c r="A1264" s="35" t="s">
        <v>1559</v>
      </c>
      <c r="B1264" s="36" t="s">
        <v>1107</v>
      </c>
      <c r="C1264" s="37">
        <v>24.0</v>
      </c>
      <c r="D1264" s="30">
        <v>8.424621001215E12</v>
      </c>
      <c r="E1264" s="38">
        <v>1.3</v>
      </c>
      <c r="F1264" s="32">
        <v>31.2</v>
      </c>
      <c r="G1264" s="33"/>
      <c r="H1264" s="39">
        <f t="shared" si="147"/>
        <v>0</v>
      </c>
    </row>
    <row r="1265" ht="15.0" customHeight="1">
      <c r="A1265" s="35" t="s">
        <v>1560</v>
      </c>
      <c r="B1265" s="36" t="s">
        <v>1561</v>
      </c>
      <c r="C1265" s="37">
        <v>12.0</v>
      </c>
      <c r="D1265" s="30">
        <v>5.01105301187E12</v>
      </c>
      <c r="E1265" s="38">
        <v>1.45</v>
      </c>
      <c r="F1265" s="32">
        <v>17.4</v>
      </c>
      <c r="G1265" s="33"/>
      <c r="H1265" s="39">
        <f t="shared" si="147"/>
        <v>0</v>
      </c>
    </row>
    <row r="1266" ht="15.0" customHeight="1">
      <c r="A1266" s="35" t="s">
        <v>1562</v>
      </c>
      <c r="B1266" s="36">
        <v>1.0</v>
      </c>
      <c r="C1266" s="37">
        <v>200.0</v>
      </c>
      <c r="D1266" s="30">
        <v>8.410525201264E12</v>
      </c>
      <c r="E1266" s="38">
        <v>0.1</v>
      </c>
      <c r="F1266" s="32">
        <v>20.0</v>
      </c>
      <c r="G1266" s="33"/>
      <c r="H1266" s="39">
        <f t="shared" si="147"/>
        <v>0</v>
      </c>
    </row>
    <row r="1267" ht="15.0" customHeight="1">
      <c r="A1267" s="35" t="s">
        <v>1563</v>
      </c>
      <c r="B1267" s="36" t="s">
        <v>1564</v>
      </c>
      <c r="C1267" s="37">
        <v>120.0</v>
      </c>
      <c r="D1267" s="30">
        <v>6.54954122231E12</v>
      </c>
      <c r="E1267" s="38">
        <v>0.65</v>
      </c>
      <c r="F1267" s="32">
        <v>78.0</v>
      </c>
      <c r="G1267" s="33"/>
      <c r="H1267" s="39">
        <f t="shared" si="147"/>
        <v>0</v>
      </c>
    </row>
    <row r="1268" ht="15.0" customHeight="1">
      <c r="A1268" s="35" t="s">
        <v>1565</v>
      </c>
      <c r="B1268" s="36" t="s">
        <v>1566</v>
      </c>
      <c r="C1268" s="37">
        <v>213.0</v>
      </c>
      <c r="D1268" s="30">
        <v>8.410031960334E12</v>
      </c>
      <c r="E1268" s="38">
        <v>0.23</v>
      </c>
      <c r="F1268" s="32">
        <v>48.99</v>
      </c>
      <c r="G1268" s="33"/>
      <c r="H1268" s="39">
        <f t="shared" si="147"/>
        <v>0</v>
      </c>
    </row>
    <row r="1269" ht="15.0" customHeight="1">
      <c r="A1269" s="35" t="s">
        <v>1567</v>
      </c>
      <c r="B1269" s="36">
        <v>1.0</v>
      </c>
      <c r="C1269" s="37">
        <v>100.0</v>
      </c>
      <c r="D1269" s="30">
        <v>8.410525250101E12</v>
      </c>
      <c r="E1269" s="38">
        <v>0.19</v>
      </c>
      <c r="F1269" s="32">
        <v>19.0</v>
      </c>
      <c r="G1269" s="33"/>
      <c r="H1269" s="39">
        <f t="shared" si="147"/>
        <v>0</v>
      </c>
    </row>
    <row r="1270" ht="15.0" customHeight="1">
      <c r="A1270" s="35" t="s">
        <v>1568</v>
      </c>
      <c r="B1270" s="36">
        <v>1.0</v>
      </c>
      <c r="C1270" s="37">
        <v>170.0</v>
      </c>
      <c r="D1270" s="30">
        <v>8.410525195358E12</v>
      </c>
      <c r="E1270" s="38">
        <v>0.09</v>
      </c>
      <c r="F1270" s="32">
        <v>15.3</v>
      </c>
      <c r="G1270" s="33"/>
      <c r="H1270" s="39">
        <f t="shared" si="147"/>
        <v>0</v>
      </c>
    </row>
    <row r="1271" ht="15.0" customHeight="1">
      <c r="A1271" s="49" t="s">
        <v>1569</v>
      </c>
      <c r="B1271" s="54" t="s">
        <v>1570</v>
      </c>
      <c r="C1271" s="56">
        <v>24.0</v>
      </c>
      <c r="D1271" s="47" t="s">
        <v>1571</v>
      </c>
      <c r="E1271" s="38">
        <v>0.85</v>
      </c>
      <c r="F1271" s="32">
        <v>20.4</v>
      </c>
      <c r="G1271" s="33"/>
      <c r="H1271" s="39">
        <f t="shared" si="147"/>
        <v>0</v>
      </c>
    </row>
    <row r="1272" ht="15.0" customHeight="1">
      <c r="A1272" s="49" t="s">
        <v>1572</v>
      </c>
      <c r="B1272" s="54" t="s">
        <v>1347</v>
      </c>
      <c r="C1272" s="56">
        <v>12.0</v>
      </c>
      <c r="D1272" s="47" t="s">
        <v>1573</v>
      </c>
      <c r="E1272" s="38">
        <v>1.15</v>
      </c>
      <c r="F1272" s="32">
        <v>13.8</v>
      </c>
      <c r="G1272" s="33"/>
      <c r="H1272" s="39">
        <f t="shared" si="147"/>
        <v>0</v>
      </c>
    </row>
    <row r="1273" ht="15.0" customHeight="1">
      <c r="A1273" s="49" t="s">
        <v>1574</v>
      </c>
      <c r="B1273" s="54" t="s">
        <v>1575</v>
      </c>
      <c r="C1273" s="56">
        <v>48.0</v>
      </c>
      <c r="D1273" s="47" t="s">
        <v>1576</v>
      </c>
      <c r="E1273" s="38">
        <v>1.05</v>
      </c>
      <c r="F1273" s="32">
        <v>50.4</v>
      </c>
      <c r="G1273" s="33"/>
      <c r="H1273" s="39">
        <f t="shared" si="147"/>
        <v>0</v>
      </c>
    </row>
    <row r="1274" ht="15.0" customHeight="1">
      <c r="A1274" s="49" t="s">
        <v>1577</v>
      </c>
      <c r="B1274" s="54" t="s">
        <v>1353</v>
      </c>
      <c r="C1274" s="56">
        <v>12.0</v>
      </c>
      <c r="D1274" s="47" t="s">
        <v>1578</v>
      </c>
      <c r="E1274" s="38">
        <v>1.05</v>
      </c>
      <c r="F1274" s="32">
        <v>12.6</v>
      </c>
      <c r="G1274" s="33"/>
      <c r="H1274" s="39">
        <f t="shared" si="147"/>
        <v>0</v>
      </c>
    </row>
    <row r="1275" ht="15.0" customHeight="1">
      <c r="A1275" s="49" t="s">
        <v>1579</v>
      </c>
      <c r="B1275" s="54" t="s">
        <v>1535</v>
      </c>
      <c r="C1275" s="56">
        <v>12.0</v>
      </c>
      <c r="D1275" s="71" t="s">
        <v>1580</v>
      </c>
      <c r="E1275" s="38">
        <v>1.2</v>
      </c>
      <c r="F1275" s="32">
        <v>14.4</v>
      </c>
      <c r="G1275" s="33"/>
      <c r="H1275" s="39">
        <f t="shared" si="147"/>
        <v>0</v>
      </c>
    </row>
    <row r="1276" ht="15.0" customHeight="1">
      <c r="A1276" s="27" t="s">
        <v>1581</v>
      </c>
      <c r="B1276" s="28"/>
      <c r="C1276" s="29"/>
      <c r="D1276" s="30"/>
      <c r="E1276" s="31"/>
      <c r="F1276" s="32"/>
      <c r="G1276" s="33"/>
      <c r="H1276" s="39"/>
    </row>
    <row r="1277" ht="15.0" customHeight="1">
      <c r="A1277" s="35" t="s">
        <v>1582</v>
      </c>
      <c r="B1277" s="36" t="s">
        <v>1561</v>
      </c>
      <c r="C1277" s="37">
        <v>32.0</v>
      </c>
      <c r="D1277" s="30">
        <v>8.410525235573E12</v>
      </c>
      <c r="E1277" s="38">
        <v>0.45</v>
      </c>
      <c r="F1277" s="32">
        <v>14.4</v>
      </c>
      <c r="G1277" s="33"/>
      <c r="H1277" s="39">
        <f>G1277*F1277</f>
        <v>0</v>
      </c>
    </row>
    <row r="1278" ht="15.0" customHeight="1">
      <c r="A1278" s="27" t="s">
        <v>1583</v>
      </c>
      <c r="B1278" s="123"/>
      <c r="C1278" s="124"/>
      <c r="D1278" s="30"/>
      <c r="E1278" s="31"/>
      <c r="F1278" s="32"/>
      <c r="G1278" s="33"/>
      <c r="H1278" s="39"/>
    </row>
    <row r="1279" ht="15.0" customHeight="1">
      <c r="A1279" s="48" t="s">
        <v>1584</v>
      </c>
      <c r="B1279" s="54" t="s">
        <v>1585</v>
      </c>
      <c r="C1279" s="56">
        <v>20.0</v>
      </c>
      <c r="D1279" s="30">
        <v>4.014400907902E12</v>
      </c>
      <c r="E1279" s="55">
        <v>1.2</v>
      </c>
      <c r="F1279" s="59">
        <f t="shared" ref="F1279:F1283" si="148">E1279*C1279</f>
        <v>24</v>
      </c>
      <c r="G1279" s="33"/>
      <c r="H1279" s="39">
        <f t="shared" ref="H1279:H1283" si="149">G1279*F1279</f>
        <v>0</v>
      </c>
    </row>
    <row r="1280" ht="15.0" customHeight="1">
      <c r="A1280" s="48" t="s">
        <v>1586</v>
      </c>
      <c r="B1280" s="54" t="s">
        <v>1272</v>
      </c>
      <c r="C1280" s="56">
        <v>24.0</v>
      </c>
      <c r="D1280" s="30">
        <v>4.014400900897E12</v>
      </c>
      <c r="E1280" s="55">
        <v>1.6</v>
      </c>
      <c r="F1280" s="59">
        <f t="shared" si="148"/>
        <v>38.4</v>
      </c>
      <c r="G1280" s="33"/>
      <c r="H1280" s="39">
        <f t="shared" si="149"/>
        <v>0</v>
      </c>
    </row>
    <row r="1281" ht="15.0" customHeight="1">
      <c r="A1281" s="48" t="s">
        <v>1587</v>
      </c>
      <c r="B1281" s="54" t="s">
        <v>1176</v>
      </c>
      <c r="C1281" s="56">
        <v>12.0</v>
      </c>
      <c r="D1281" s="30">
        <v>4.014400907636E12</v>
      </c>
      <c r="E1281" s="55">
        <v>1.55</v>
      </c>
      <c r="F1281" s="59">
        <f t="shared" si="148"/>
        <v>18.6</v>
      </c>
      <c r="G1281" s="33"/>
      <c r="H1281" s="39">
        <f t="shared" si="149"/>
        <v>0</v>
      </c>
    </row>
    <row r="1282" ht="15.0" customHeight="1">
      <c r="A1282" s="48" t="s">
        <v>1588</v>
      </c>
      <c r="B1282" s="54" t="s">
        <v>1305</v>
      </c>
      <c r="C1282" s="56">
        <v>20.0</v>
      </c>
      <c r="D1282" s="30">
        <v>4.014400937152E12</v>
      </c>
      <c r="E1282" s="55">
        <v>1.95</v>
      </c>
      <c r="F1282" s="59">
        <f t="shared" si="148"/>
        <v>39</v>
      </c>
      <c r="G1282" s="33"/>
      <c r="H1282" s="39">
        <f t="shared" si="149"/>
        <v>0</v>
      </c>
    </row>
    <row r="1283" ht="15.0" customHeight="1">
      <c r="A1283" s="48" t="s">
        <v>1589</v>
      </c>
      <c r="B1283" s="54" t="s">
        <v>1191</v>
      </c>
      <c r="C1283" s="56">
        <v>12.0</v>
      </c>
      <c r="D1283" s="30">
        <v>4.014400400007E12</v>
      </c>
      <c r="E1283" s="55">
        <v>2.25</v>
      </c>
      <c r="F1283" s="59">
        <f t="shared" si="148"/>
        <v>27</v>
      </c>
      <c r="G1283" s="33"/>
      <c r="H1283" s="39">
        <f t="shared" si="149"/>
        <v>0</v>
      </c>
    </row>
    <row r="1284" ht="15.0" customHeight="1">
      <c r="A1284" s="27" t="s">
        <v>1590</v>
      </c>
      <c r="B1284" s="28"/>
      <c r="C1284" s="29"/>
      <c r="D1284" s="30"/>
      <c r="E1284" s="31"/>
      <c r="F1284" s="32"/>
      <c r="G1284" s="33"/>
      <c r="H1284" s="39"/>
    </row>
    <row r="1285" ht="15.0" customHeight="1">
      <c r="A1285" s="35" t="s">
        <v>1591</v>
      </c>
      <c r="B1285" s="36" t="s">
        <v>1107</v>
      </c>
      <c r="C1285" s="37">
        <v>12.0</v>
      </c>
      <c r="D1285" s="30">
        <v>3.58840026293E12</v>
      </c>
      <c r="E1285" s="38">
        <v>1.45</v>
      </c>
      <c r="F1285" s="32">
        <v>17.4</v>
      </c>
      <c r="G1285" s="33"/>
      <c r="H1285" s="39">
        <f t="shared" ref="H1285:H1287" si="150">G1285*F1285</f>
        <v>0</v>
      </c>
    </row>
    <row r="1286" ht="15.0" customHeight="1">
      <c r="A1286" s="35" t="s">
        <v>1592</v>
      </c>
      <c r="B1286" s="36" t="s">
        <v>1362</v>
      </c>
      <c r="C1286" s="37">
        <v>24.0</v>
      </c>
      <c r="D1286" s="30">
        <v>3.588400264309E12</v>
      </c>
      <c r="E1286" s="38">
        <v>2.15</v>
      </c>
      <c r="F1286" s="32">
        <v>51.6</v>
      </c>
      <c r="G1286" s="33"/>
      <c r="H1286" s="39">
        <f t="shared" si="150"/>
        <v>0</v>
      </c>
    </row>
    <row r="1287" ht="15.0" customHeight="1">
      <c r="A1287" s="48" t="s">
        <v>1593</v>
      </c>
      <c r="B1287" s="54" t="s">
        <v>1210</v>
      </c>
      <c r="C1287" s="56">
        <v>12.0</v>
      </c>
      <c r="D1287" s="47" t="s">
        <v>1594</v>
      </c>
      <c r="E1287" s="55">
        <v>1.95</v>
      </c>
      <c r="F1287" s="59">
        <v>23.4</v>
      </c>
      <c r="G1287" s="175"/>
      <c r="H1287" s="39">
        <f t="shared" si="150"/>
        <v>0</v>
      </c>
    </row>
    <row r="1288" ht="15.0" customHeight="1">
      <c r="A1288" s="27" t="s">
        <v>1595</v>
      </c>
      <c r="B1288" s="123"/>
      <c r="C1288" s="124"/>
      <c r="D1288" s="30"/>
      <c r="E1288" s="31"/>
      <c r="F1288" s="32"/>
      <c r="G1288" s="33"/>
      <c r="H1288" s="39"/>
    </row>
    <row r="1289" ht="15.0" customHeight="1">
      <c r="A1289" s="35" t="s">
        <v>1596</v>
      </c>
      <c r="B1289" s="36" t="s">
        <v>1353</v>
      </c>
      <c r="C1289" s="37">
        <v>12.0</v>
      </c>
      <c r="D1289" s="30">
        <v>3.588400262923E12</v>
      </c>
      <c r="E1289" s="38">
        <v>1.4</v>
      </c>
      <c r="F1289" s="32">
        <v>16.8</v>
      </c>
      <c r="G1289" s="33"/>
      <c r="H1289" s="39">
        <f t="shared" ref="H1289:H1291" si="151">G1289*F1289</f>
        <v>0</v>
      </c>
    </row>
    <row r="1290" ht="15.0" customHeight="1">
      <c r="A1290" s="35" t="s">
        <v>1597</v>
      </c>
      <c r="B1290" s="36" t="s">
        <v>1598</v>
      </c>
      <c r="C1290" s="37">
        <v>24.0</v>
      </c>
      <c r="D1290" s="30">
        <v>8.420886208109E12</v>
      </c>
      <c r="E1290" s="38">
        <v>1.95</v>
      </c>
      <c r="F1290" s="32">
        <v>46.8</v>
      </c>
      <c r="G1290" s="33"/>
      <c r="H1290" s="39">
        <f t="shared" si="151"/>
        <v>0</v>
      </c>
    </row>
    <row r="1291" ht="15.0" customHeight="1">
      <c r="A1291" s="49" t="s">
        <v>1599</v>
      </c>
      <c r="B1291" s="54" t="s">
        <v>1353</v>
      </c>
      <c r="C1291" s="56">
        <v>12.0</v>
      </c>
      <c r="D1291" s="47" t="s">
        <v>1600</v>
      </c>
      <c r="E1291" s="38">
        <v>1.55</v>
      </c>
      <c r="F1291" s="32">
        <v>18.6</v>
      </c>
      <c r="G1291" s="33"/>
      <c r="H1291" s="39">
        <f t="shared" si="151"/>
        <v>0</v>
      </c>
    </row>
    <row r="1292" ht="15.0" customHeight="1">
      <c r="A1292" s="90" t="s">
        <v>1601</v>
      </c>
      <c r="B1292" s="91"/>
      <c r="C1292" s="92"/>
      <c r="D1292" s="93"/>
      <c r="E1292" s="31"/>
      <c r="F1292" s="32"/>
      <c r="G1292" s="33"/>
      <c r="H1292" s="39"/>
    </row>
    <row r="1293" ht="15.0" customHeight="1">
      <c r="A1293" s="27" t="s">
        <v>1602</v>
      </c>
      <c r="B1293" s="28"/>
      <c r="C1293" s="29"/>
      <c r="D1293" s="30"/>
      <c r="E1293" s="31"/>
      <c r="F1293" s="32"/>
      <c r="G1293" s="33"/>
      <c r="H1293" s="39"/>
    </row>
    <row r="1294" ht="15.0" customHeight="1">
      <c r="A1294" s="35" t="s">
        <v>1603</v>
      </c>
      <c r="B1294" s="28"/>
      <c r="C1294" s="37">
        <v>50.0</v>
      </c>
      <c r="D1294" s="30" t="s">
        <v>1604</v>
      </c>
      <c r="E1294" s="38">
        <v>0.59</v>
      </c>
      <c r="F1294" s="32">
        <v>29.5</v>
      </c>
      <c r="G1294" s="33"/>
      <c r="H1294" s="39">
        <f t="shared" ref="H1294:H1312" si="152">G1294*F1294</f>
        <v>0</v>
      </c>
    </row>
    <row r="1295" ht="15.0" customHeight="1">
      <c r="A1295" s="35" t="s">
        <v>1605</v>
      </c>
      <c r="B1295" s="28"/>
      <c r="C1295" s="37">
        <v>32.0</v>
      </c>
      <c r="D1295" s="30" t="s">
        <v>1606</v>
      </c>
      <c r="E1295" s="38">
        <v>0.99</v>
      </c>
      <c r="F1295" s="32">
        <v>31.68</v>
      </c>
      <c r="G1295" s="33"/>
      <c r="H1295" s="39">
        <f t="shared" si="152"/>
        <v>0</v>
      </c>
    </row>
    <row r="1296" ht="15.0" customHeight="1">
      <c r="A1296" s="35" t="s">
        <v>1607</v>
      </c>
      <c r="B1296" s="28"/>
      <c r="C1296" s="37">
        <v>50.0</v>
      </c>
      <c r="D1296" s="30" t="s">
        <v>1608</v>
      </c>
      <c r="E1296" s="38">
        <v>0.59</v>
      </c>
      <c r="F1296" s="32">
        <v>29.5</v>
      </c>
      <c r="G1296" s="33"/>
      <c r="H1296" s="39">
        <f t="shared" si="152"/>
        <v>0</v>
      </c>
    </row>
    <row r="1297" ht="15.0" customHeight="1">
      <c r="A1297" s="35" t="s">
        <v>1609</v>
      </c>
      <c r="B1297" s="28"/>
      <c r="C1297" s="37">
        <v>50.0</v>
      </c>
      <c r="D1297" s="30" t="s">
        <v>1610</v>
      </c>
      <c r="E1297" s="38">
        <v>0.55</v>
      </c>
      <c r="F1297" s="32">
        <v>27.5</v>
      </c>
      <c r="G1297" s="33"/>
      <c r="H1297" s="39">
        <f t="shared" si="152"/>
        <v>0</v>
      </c>
    </row>
    <row r="1298" ht="15.0" customHeight="1">
      <c r="A1298" s="35" t="s">
        <v>1611</v>
      </c>
      <c r="B1298" s="28"/>
      <c r="C1298" s="37">
        <v>50.0</v>
      </c>
      <c r="D1298" s="30" t="s">
        <v>1612</v>
      </c>
      <c r="E1298" s="38">
        <v>0.55</v>
      </c>
      <c r="F1298" s="32">
        <v>27.5</v>
      </c>
      <c r="G1298" s="33"/>
      <c r="H1298" s="39">
        <f t="shared" si="152"/>
        <v>0</v>
      </c>
    </row>
    <row r="1299" ht="15.0" customHeight="1">
      <c r="A1299" s="35" t="s">
        <v>1613</v>
      </c>
      <c r="B1299" s="28"/>
      <c r="C1299" s="37">
        <v>50.0</v>
      </c>
      <c r="D1299" s="30" t="s">
        <v>1614</v>
      </c>
      <c r="E1299" s="38">
        <v>0.95</v>
      </c>
      <c r="F1299" s="32">
        <v>47.5</v>
      </c>
      <c r="G1299" s="33"/>
      <c r="H1299" s="39">
        <f t="shared" si="152"/>
        <v>0</v>
      </c>
    </row>
    <row r="1300" ht="15.0" customHeight="1">
      <c r="A1300" s="35" t="s">
        <v>1615</v>
      </c>
      <c r="B1300" s="28"/>
      <c r="C1300" s="37">
        <v>25.0</v>
      </c>
      <c r="D1300" s="30" t="s">
        <v>1616</v>
      </c>
      <c r="E1300" s="38">
        <v>0.5</v>
      </c>
      <c r="F1300" s="32">
        <v>12.5</v>
      </c>
      <c r="G1300" s="33"/>
      <c r="H1300" s="39">
        <f t="shared" si="152"/>
        <v>0</v>
      </c>
    </row>
    <row r="1301" ht="15.0" customHeight="1">
      <c r="A1301" s="35" t="s">
        <v>1617</v>
      </c>
      <c r="B1301" s="28"/>
      <c r="C1301" s="37">
        <v>100.0</v>
      </c>
      <c r="D1301" s="30" t="s">
        <v>1618</v>
      </c>
      <c r="E1301" s="38">
        <v>0.95</v>
      </c>
      <c r="F1301" s="32">
        <v>95.0</v>
      </c>
      <c r="G1301" s="33"/>
      <c r="H1301" s="39">
        <f t="shared" si="152"/>
        <v>0</v>
      </c>
    </row>
    <row r="1302" ht="15.0" customHeight="1">
      <c r="A1302" s="35" t="s">
        <v>1619</v>
      </c>
      <c r="B1302" s="28"/>
      <c r="C1302" s="37">
        <v>100.0</v>
      </c>
      <c r="D1302" s="30" t="s">
        <v>1620</v>
      </c>
      <c r="E1302" s="38">
        <v>0.85</v>
      </c>
      <c r="F1302" s="32">
        <v>85.0</v>
      </c>
      <c r="G1302" s="33"/>
      <c r="H1302" s="39">
        <f t="shared" si="152"/>
        <v>0</v>
      </c>
    </row>
    <row r="1303" ht="15.0" customHeight="1">
      <c r="A1303" s="35" t="s">
        <v>1621</v>
      </c>
      <c r="B1303" s="28"/>
      <c r="C1303" s="37">
        <v>40.0</v>
      </c>
      <c r="D1303" s="30" t="s">
        <v>1622</v>
      </c>
      <c r="E1303" s="38">
        <v>1.85</v>
      </c>
      <c r="F1303" s="32">
        <v>74.0</v>
      </c>
      <c r="G1303" s="33"/>
      <c r="H1303" s="39">
        <f t="shared" si="152"/>
        <v>0</v>
      </c>
    </row>
    <row r="1304" ht="15.0" customHeight="1">
      <c r="A1304" s="35" t="s">
        <v>1623</v>
      </c>
      <c r="B1304" s="28"/>
      <c r="C1304" s="37">
        <v>40.0</v>
      </c>
      <c r="D1304" s="30" t="s">
        <v>1624</v>
      </c>
      <c r="E1304" s="38">
        <v>1.65</v>
      </c>
      <c r="F1304" s="32">
        <v>66.0</v>
      </c>
      <c r="G1304" s="33"/>
      <c r="H1304" s="39">
        <f t="shared" si="152"/>
        <v>0</v>
      </c>
    </row>
    <row r="1305" ht="15.0" customHeight="1">
      <c r="A1305" s="35" t="s">
        <v>1625</v>
      </c>
      <c r="B1305" s="28"/>
      <c r="C1305" s="37">
        <v>24.0</v>
      </c>
      <c r="D1305" s="30" t="s">
        <v>1626</v>
      </c>
      <c r="E1305" s="38">
        <v>1.15</v>
      </c>
      <c r="F1305" s="32">
        <v>27.6</v>
      </c>
      <c r="G1305" s="33"/>
      <c r="H1305" s="39">
        <f t="shared" si="152"/>
        <v>0</v>
      </c>
    </row>
    <row r="1306" ht="15.0" customHeight="1">
      <c r="A1306" s="35" t="s">
        <v>1627</v>
      </c>
      <c r="B1306" s="28"/>
      <c r="C1306" s="37">
        <v>50.0</v>
      </c>
      <c r="D1306" s="30" t="s">
        <v>1628</v>
      </c>
      <c r="E1306" s="38">
        <v>0.59</v>
      </c>
      <c r="F1306" s="32">
        <v>29.5</v>
      </c>
      <c r="G1306" s="33"/>
      <c r="H1306" s="39">
        <f t="shared" si="152"/>
        <v>0</v>
      </c>
    </row>
    <row r="1307" ht="15.0" customHeight="1">
      <c r="A1307" s="35" t="s">
        <v>1629</v>
      </c>
      <c r="B1307" s="28"/>
      <c r="C1307" s="37">
        <v>32.0</v>
      </c>
      <c r="D1307" s="30" t="s">
        <v>1630</v>
      </c>
      <c r="E1307" s="38">
        <v>0.99</v>
      </c>
      <c r="F1307" s="32">
        <v>31.68</v>
      </c>
      <c r="G1307" s="33"/>
      <c r="H1307" s="39">
        <f t="shared" si="152"/>
        <v>0</v>
      </c>
    </row>
    <row r="1308" ht="15.0" customHeight="1">
      <c r="A1308" s="35" t="s">
        <v>1631</v>
      </c>
      <c r="B1308" s="28"/>
      <c r="C1308" s="37">
        <v>16.0</v>
      </c>
      <c r="D1308" s="30" t="s">
        <v>1632</v>
      </c>
      <c r="E1308" s="38">
        <v>1.65</v>
      </c>
      <c r="F1308" s="32">
        <v>26.4</v>
      </c>
      <c r="G1308" s="33"/>
      <c r="H1308" s="39">
        <f t="shared" si="152"/>
        <v>0</v>
      </c>
    </row>
    <row r="1309" ht="15.0" customHeight="1">
      <c r="A1309" s="35" t="s">
        <v>1633</v>
      </c>
      <c r="B1309" s="28"/>
      <c r="C1309" s="37">
        <v>50.0</v>
      </c>
      <c r="D1309" s="30" t="s">
        <v>1634</v>
      </c>
      <c r="E1309" s="38">
        <v>0.55</v>
      </c>
      <c r="F1309" s="32">
        <v>27.5</v>
      </c>
      <c r="G1309" s="33"/>
      <c r="H1309" s="39">
        <f t="shared" si="152"/>
        <v>0</v>
      </c>
    </row>
    <row r="1310" ht="15.0" customHeight="1">
      <c r="A1310" s="35" t="s">
        <v>1635</v>
      </c>
      <c r="B1310" s="28"/>
      <c r="C1310" s="37">
        <v>50.0</v>
      </c>
      <c r="D1310" s="30" t="s">
        <v>1636</v>
      </c>
      <c r="E1310" s="38">
        <v>0.59</v>
      </c>
      <c r="F1310" s="32">
        <v>29.5</v>
      </c>
      <c r="G1310" s="33"/>
      <c r="H1310" s="39">
        <f t="shared" si="152"/>
        <v>0</v>
      </c>
    </row>
    <row r="1311" ht="15.0" customHeight="1">
      <c r="A1311" s="35" t="s">
        <v>1637</v>
      </c>
      <c r="B1311" s="28"/>
      <c r="C1311" s="37">
        <v>50.0</v>
      </c>
      <c r="D1311" s="30" t="s">
        <v>1638</v>
      </c>
      <c r="E1311" s="38">
        <v>0.55</v>
      </c>
      <c r="F1311" s="32">
        <v>27.5</v>
      </c>
      <c r="G1311" s="33"/>
      <c r="H1311" s="39">
        <f t="shared" si="152"/>
        <v>0</v>
      </c>
    </row>
    <row r="1312" ht="15.0" customHeight="1">
      <c r="A1312" s="35" t="s">
        <v>1639</v>
      </c>
      <c r="B1312" s="28"/>
      <c r="C1312" s="37">
        <v>1.0</v>
      </c>
      <c r="D1312" s="30" t="s">
        <v>1640</v>
      </c>
      <c r="E1312" s="38">
        <v>4.5</v>
      </c>
      <c r="F1312" s="32">
        <v>4.5</v>
      </c>
      <c r="G1312" s="33"/>
      <c r="H1312" s="39">
        <f t="shared" si="152"/>
        <v>0</v>
      </c>
    </row>
    <row r="1313" ht="15.0" customHeight="1">
      <c r="A1313" s="27" t="s">
        <v>1641</v>
      </c>
      <c r="B1313" s="28"/>
      <c r="C1313" s="29"/>
      <c r="D1313" s="30"/>
      <c r="E1313" s="31"/>
      <c r="F1313" s="32"/>
      <c r="G1313" s="33"/>
      <c r="H1313" s="39"/>
    </row>
    <row r="1314" ht="15.0" customHeight="1">
      <c r="A1314" s="35" t="s">
        <v>1642</v>
      </c>
      <c r="B1314" s="28"/>
      <c r="C1314" s="37">
        <v>50.0</v>
      </c>
      <c r="D1314" s="30" t="s">
        <v>1643</v>
      </c>
      <c r="E1314" s="38">
        <v>0.42</v>
      </c>
      <c r="F1314" s="32">
        <v>21.0</v>
      </c>
      <c r="G1314" s="33"/>
      <c r="H1314" s="39">
        <f t="shared" ref="H1314:H1317" si="153">G1314*F1314</f>
        <v>0</v>
      </c>
    </row>
    <row r="1315" ht="15.0" customHeight="1">
      <c r="A1315" s="35" t="s">
        <v>1644</v>
      </c>
      <c r="B1315" s="28"/>
      <c r="C1315" s="37">
        <v>25.0</v>
      </c>
      <c r="D1315" s="30" t="s">
        <v>1645</v>
      </c>
      <c r="E1315" s="38">
        <v>0.55</v>
      </c>
      <c r="F1315" s="32">
        <v>13.75</v>
      </c>
      <c r="G1315" s="33"/>
      <c r="H1315" s="39">
        <f t="shared" si="153"/>
        <v>0</v>
      </c>
    </row>
    <row r="1316" ht="15.0" customHeight="1">
      <c r="A1316" s="35" t="s">
        <v>1646</v>
      </c>
      <c r="B1316" s="28"/>
      <c r="C1316" s="37">
        <v>14.0</v>
      </c>
      <c r="D1316" s="30" t="s">
        <v>1647</v>
      </c>
      <c r="E1316" s="38">
        <v>1.4</v>
      </c>
      <c r="F1316" s="32">
        <v>19.6</v>
      </c>
      <c r="G1316" s="33"/>
      <c r="H1316" s="39">
        <f t="shared" si="153"/>
        <v>0</v>
      </c>
    </row>
    <row r="1317" ht="15.0" customHeight="1">
      <c r="A1317" s="35" t="s">
        <v>1648</v>
      </c>
      <c r="B1317" s="28"/>
      <c r="C1317" s="37">
        <v>32.0</v>
      </c>
      <c r="D1317" s="30" t="s">
        <v>1649</v>
      </c>
      <c r="E1317" s="38">
        <v>2.75</v>
      </c>
      <c r="F1317" s="32">
        <v>88.0</v>
      </c>
      <c r="G1317" s="33"/>
      <c r="H1317" s="39">
        <f t="shared" si="153"/>
        <v>0</v>
      </c>
    </row>
    <row r="1318" ht="15.0" customHeight="1">
      <c r="A1318" s="35"/>
      <c r="B1318" s="28"/>
      <c r="C1318" s="29"/>
      <c r="D1318" s="30"/>
      <c r="E1318" s="31"/>
      <c r="F1318" s="32"/>
      <c r="G1318" s="33"/>
      <c r="H1318" s="39"/>
    </row>
    <row r="1319" ht="15.0" customHeight="1">
      <c r="A1319" s="27" t="s">
        <v>1650</v>
      </c>
      <c r="B1319" s="28"/>
      <c r="C1319" s="29"/>
      <c r="D1319" s="30"/>
      <c r="E1319" s="31"/>
      <c r="F1319" s="32"/>
      <c r="G1319" s="33"/>
      <c r="H1319" s="39"/>
    </row>
    <row r="1320" ht="15.0" customHeight="1">
      <c r="A1320" s="35" t="s">
        <v>1651</v>
      </c>
      <c r="B1320" s="28"/>
      <c r="C1320" s="37">
        <v>20.0</v>
      </c>
      <c r="D1320" s="30">
        <v>5.412128571051E12</v>
      </c>
      <c r="E1320" s="38">
        <v>1.45</v>
      </c>
      <c r="F1320" s="32">
        <v>29.0</v>
      </c>
      <c r="G1320" s="33"/>
      <c r="H1320" s="39">
        <f t="shared" ref="H1320:H1323" si="154">G1320*F1320</f>
        <v>0</v>
      </c>
    </row>
    <row r="1321" ht="15.0" customHeight="1">
      <c r="A1321" s="35" t="s">
        <v>1652</v>
      </c>
      <c r="B1321" s="28"/>
      <c r="C1321" s="37">
        <v>40.0</v>
      </c>
      <c r="D1321" s="30">
        <v>5.412128155107E12</v>
      </c>
      <c r="E1321" s="38">
        <v>1.45</v>
      </c>
      <c r="F1321" s="32">
        <v>58.0</v>
      </c>
      <c r="G1321" s="33"/>
      <c r="H1321" s="39">
        <f t="shared" si="154"/>
        <v>0</v>
      </c>
    </row>
    <row r="1322" ht="15.0" customHeight="1">
      <c r="A1322" s="35" t="s">
        <v>1653</v>
      </c>
      <c r="B1322" s="28"/>
      <c r="C1322" s="37">
        <v>20.0</v>
      </c>
      <c r="D1322" s="30">
        <v>5.412128750005E12</v>
      </c>
      <c r="E1322" s="38">
        <v>2.75</v>
      </c>
      <c r="F1322" s="32">
        <v>55.0</v>
      </c>
      <c r="G1322" s="33"/>
      <c r="H1322" s="39">
        <f t="shared" si="154"/>
        <v>0</v>
      </c>
    </row>
    <row r="1323" ht="15.0" customHeight="1">
      <c r="A1323" s="35" t="s">
        <v>1654</v>
      </c>
      <c r="B1323" s="28"/>
      <c r="C1323" s="37">
        <v>10.0</v>
      </c>
      <c r="D1323" s="30">
        <v>5.412128706002E12</v>
      </c>
      <c r="E1323" s="38">
        <v>5.25</v>
      </c>
      <c r="F1323" s="32">
        <v>52.5</v>
      </c>
      <c r="G1323" s="33"/>
      <c r="H1323" s="39">
        <f t="shared" si="154"/>
        <v>0</v>
      </c>
    </row>
    <row r="1324" ht="15.0" customHeight="1">
      <c r="A1324" s="27" t="s">
        <v>1655</v>
      </c>
      <c r="B1324" s="28"/>
      <c r="C1324" s="29"/>
      <c r="D1324" s="30"/>
      <c r="E1324" s="31"/>
      <c r="F1324" s="32"/>
      <c r="G1324" s="33"/>
      <c r="H1324" s="39"/>
    </row>
    <row r="1325" ht="15.0" customHeight="1">
      <c r="A1325" s="35" t="s">
        <v>1656</v>
      </c>
      <c r="B1325" s="28"/>
      <c r="C1325" s="37">
        <v>50.0</v>
      </c>
      <c r="D1325" s="30" t="s">
        <v>1657</v>
      </c>
      <c r="E1325" s="38">
        <v>0.3</v>
      </c>
      <c r="F1325" s="32">
        <v>15.0</v>
      </c>
      <c r="G1325" s="33"/>
      <c r="H1325" s="39">
        <f t="shared" ref="H1325:H1329" si="155">G1325*F1325</f>
        <v>0</v>
      </c>
    </row>
    <row r="1326" ht="15.0" customHeight="1">
      <c r="A1326" s="35" t="s">
        <v>1658</v>
      </c>
      <c r="B1326" s="28"/>
      <c r="C1326" s="37">
        <v>1.0</v>
      </c>
      <c r="D1326" s="30">
        <v>7.155633068651E12</v>
      </c>
      <c r="E1326" s="38">
        <v>11.5</v>
      </c>
      <c r="F1326" s="32">
        <v>11.5</v>
      </c>
      <c r="G1326" s="33"/>
      <c r="H1326" s="39">
        <f t="shared" si="155"/>
        <v>0</v>
      </c>
    </row>
    <row r="1327" ht="15.0" customHeight="1">
      <c r="A1327" s="35" t="s">
        <v>1659</v>
      </c>
      <c r="B1327" s="28"/>
      <c r="C1327" s="37">
        <v>12.0</v>
      </c>
      <c r="D1327" s="30">
        <v>4.056455380415E12</v>
      </c>
      <c r="E1327" s="38">
        <v>1.6</v>
      </c>
      <c r="F1327" s="32">
        <v>19.2</v>
      </c>
      <c r="G1327" s="33"/>
      <c r="H1327" s="39">
        <f t="shared" si="155"/>
        <v>0</v>
      </c>
    </row>
    <row r="1328" ht="15.0" customHeight="1">
      <c r="A1328" s="35" t="s">
        <v>1660</v>
      </c>
      <c r="B1328" s="28"/>
      <c r="C1328" s="37">
        <v>16.0</v>
      </c>
      <c r="D1328" s="30">
        <v>5.999071042062E12</v>
      </c>
      <c r="E1328" s="38">
        <v>1.65</v>
      </c>
      <c r="F1328" s="32">
        <v>26.4</v>
      </c>
      <c r="G1328" s="33"/>
      <c r="H1328" s="39">
        <f t="shared" si="155"/>
        <v>0</v>
      </c>
    </row>
    <row r="1329" ht="15.0" customHeight="1">
      <c r="A1329" s="35" t="s">
        <v>1661</v>
      </c>
      <c r="B1329" s="28"/>
      <c r="C1329" s="37">
        <v>24.0</v>
      </c>
      <c r="D1329" s="30">
        <v>4.014663282495E12</v>
      </c>
      <c r="E1329" s="38">
        <v>1.65</v>
      </c>
      <c r="F1329" s="32">
        <v>39.6</v>
      </c>
      <c r="G1329" s="33"/>
      <c r="H1329" s="39">
        <f t="shared" si="155"/>
        <v>0</v>
      </c>
    </row>
    <row r="1330" ht="15.0" customHeight="1">
      <c r="A1330" s="27" t="s">
        <v>1662</v>
      </c>
      <c r="B1330" s="28"/>
      <c r="C1330" s="29"/>
      <c r="D1330" s="30"/>
      <c r="E1330" s="31"/>
      <c r="F1330" s="32">
        <v>0.0</v>
      </c>
      <c r="G1330" s="33"/>
      <c r="H1330" s="39"/>
    </row>
    <row r="1331" ht="15.0" customHeight="1">
      <c r="A1331" s="35" t="s">
        <v>1663</v>
      </c>
      <c r="B1331" s="36" t="s">
        <v>1664</v>
      </c>
      <c r="C1331" s="37">
        <v>18.0</v>
      </c>
      <c r="D1331" s="30">
        <v>3.760196021421E12</v>
      </c>
      <c r="E1331" s="38">
        <v>2.95</v>
      </c>
      <c r="F1331" s="32">
        <v>53.1</v>
      </c>
      <c r="G1331" s="33"/>
      <c r="H1331" s="39">
        <f t="shared" ref="H1331:H1332" si="156">G1331*F1331</f>
        <v>0</v>
      </c>
    </row>
    <row r="1332" ht="15.0" customHeight="1">
      <c r="A1332" s="35" t="s">
        <v>1665</v>
      </c>
      <c r="B1332" s="36" t="s">
        <v>1664</v>
      </c>
      <c r="C1332" s="37">
        <v>18.0</v>
      </c>
      <c r="D1332" s="30">
        <v>3.760196022169E12</v>
      </c>
      <c r="E1332" s="38">
        <v>2.95</v>
      </c>
      <c r="F1332" s="32">
        <v>53.1</v>
      </c>
      <c r="G1332" s="33"/>
      <c r="H1332" s="39">
        <f t="shared" si="156"/>
        <v>0</v>
      </c>
    </row>
    <row r="1333" ht="15.0" customHeight="1">
      <c r="A1333" s="27" t="s">
        <v>1666</v>
      </c>
      <c r="B1333" s="28"/>
      <c r="C1333" s="29"/>
      <c r="D1333" s="30"/>
      <c r="E1333" s="31"/>
      <c r="F1333" s="32"/>
      <c r="G1333" s="33"/>
      <c r="H1333" s="39"/>
    </row>
    <row r="1334" ht="15.0" customHeight="1">
      <c r="A1334" s="35" t="s">
        <v>1667</v>
      </c>
      <c r="B1334" s="28"/>
      <c r="C1334" s="37">
        <v>50.0</v>
      </c>
      <c r="D1334" s="30">
        <v>5.412128750012E12</v>
      </c>
      <c r="E1334" s="38">
        <v>0.3</v>
      </c>
      <c r="F1334" s="32">
        <v>15.0</v>
      </c>
      <c r="G1334" s="33"/>
      <c r="H1334" s="39">
        <f t="shared" ref="H1334:H1339" si="157">G1334*F1334</f>
        <v>0</v>
      </c>
    </row>
    <row r="1335" ht="15.0" customHeight="1">
      <c r="A1335" s="35" t="s">
        <v>1668</v>
      </c>
      <c r="B1335" s="28"/>
      <c r="C1335" s="37">
        <v>50.0</v>
      </c>
      <c r="D1335" s="30" t="s">
        <v>216</v>
      </c>
      <c r="E1335" s="38">
        <v>0.35</v>
      </c>
      <c r="F1335" s="32">
        <v>17.5</v>
      </c>
      <c r="G1335" s="33"/>
      <c r="H1335" s="39">
        <f t="shared" si="157"/>
        <v>0</v>
      </c>
    </row>
    <row r="1336" ht="15.0" customHeight="1">
      <c r="A1336" s="35" t="s">
        <v>1669</v>
      </c>
      <c r="B1336" s="28"/>
      <c r="C1336" s="37">
        <v>60.0</v>
      </c>
      <c r="D1336" s="30" t="s">
        <v>216</v>
      </c>
      <c r="E1336" s="38">
        <v>1.35</v>
      </c>
      <c r="F1336" s="32">
        <v>81.0</v>
      </c>
      <c r="G1336" s="33"/>
      <c r="H1336" s="39">
        <f t="shared" si="157"/>
        <v>0</v>
      </c>
    </row>
    <row r="1337" ht="15.0" customHeight="1">
      <c r="A1337" s="35" t="s">
        <v>1670</v>
      </c>
      <c r="B1337" s="28"/>
      <c r="C1337" s="37">
        <v>50.0</v>
      </c>
      <c r="D1337" s="30">
        <v>3.086125002805E12</v>
      </c>
      <c r="E1337" s="38">
        <v>0.7</v>
      </c>
      <c r="F1337" s="32">
        <v>35.0</v>
      </c>
      <c r="G1337" s="33"/>
      <c r="H1337" s="39">
        <f t="shared" si="157"/>
        <v>0</v>
      </c>
    </row>
    <row r="1338" ht="15.0" customHeight="1">
      <c r="A1338" s="35" t="s">
        <v>1671</v>
      </c>
      <c r="B1338" s="28"/>
      <c r="C1338" s="37">
        <v>50.0</v>
      </c>
      <c r="D1338" s="30">
        <v>3.086125002843E12</v>
      </c>
      <c r="E1338" s="38">
        <v>0.85</v>
      </c>
      <c r="F1338" s="32">
        <v>42.5</v>
      </c>
      <c r="G1338" s="33"/>
      <c r="H1338" s="39">
        <f t="shared" si="157"/>
        <v>0</v>
      </c>
    </row>
    <row r="1339" ht="15.0" customHeight="1">
      <c r="A1339" s="35" t="s">
        <v>1672</v>
      </c>
      <c r="B1339" s="28"/>
      <c r="C1339" s="37">
        <v>48.0</v>
      </c>
      <c r="D1339" s="30" t="s">
        <v>216</v>
      </c>
      <c r="E1339" s="38">
        <v>0.7</v>
      </c>
      <c r="F1339" s="32">
        <v>33.6</v>
      </c>
      <c r="G1339" s="33"/>
      <c r="H1339" s="39">
        <f t="shared" si="157"/>
        <v>0</v>
      </c>
    </row>
    <row r="1340" ht="15.0" customHeight="1">
      <c r="A1340" s="120"/>
      <c r="B1340" s="123"/>
      <c r="C1340" s="124"/>
      <c r="D1340" s="30"/>
      <c r="E1340" s="31"/>
      <c r="F1340" s="32"/>
      <c r="G1340" s="33"/>
      <c r="H1340" s="39"/>
    </row>
    <row r="1341" ht="15.0" customHeight="1">
      <c r="A1341" s="90" t="s">
        <v>1673</v>
      </c>
      <c r="B1341" s="91"/>
      <c r="C1341" s="92"/>
      <c r="D1341" s="93"/>
      <c r="E1341" s="31"/>
      <c r="F1341" s="32"/>
      <c r="G1341" s="33"/>
      <c r="H1341" s="39"/>
    </row>
    <row r="1342" ht="15.0" customHeight="1">
      <c r="A1342" s="35" t="s">
        <v>1674</v>
      </c>
      <c r="B1342" s="36">
        <v>4.0</v>
      </c>
      <c r="C1342" s="37">
        <v>20.0</v>
      </c>
      <c r="D1342" s="30">
        <v>4.008496525157E12</v>
      </c>
      <c r="E1342" s="38">
        <v>1.35</v>
      </c>
      <c r="F1342" s="32">
        <v>27.0</v>
      </c>
      <c r="G1342" s="33"/>
      <c r="H1342" s="39">
        <f t="shared" ref="H1342:H1365" si="158">G1342*F1342</f>
        <v>0</v>
      </c>
    </row>
    <row r="1343" ht="15.0" customHeight="1">
      <c r="A1343" s="35" t="s">
        <v>1675</v>
      </c>
      <c r="B1343" s="36">
        <v>4.0</v>
      </c>
      <c r="C1343" s="37">
        <v>10.0</v>
      </c>
      <c r="D1343" s="30">
        <v>4.008496525072E12</v>
      </c>
      <c r="E1343" s="38">
        <v>1.4</v>
      </c>
      <c r="F1343" s="32">
        <v>14.0</v>
      </c>
      <c r="G1343" s="33"/>
      <c r="H1343" s="39">
        <f t="shared" si="158"/>
        <v>0</v>
      </c>
    </row>
    <row r="1344" ht="15.0" customHeight="1">
      <c r="A1344" s="35" t="s">
        <v>1676</v>
      </c>
      <c r="B1344" s="36">
        <v>2.0</v>
      </c>
      <c r="C1344" s="37">
        <v>10.0</v>
      </c>
      <c r="D1344" s="30">
        <v>4.008496525263E12</v>
      </c>
      <c r="E1344" s="38">
        <v>1.75</v>
      </c>
      <c r="F1344" s="32">
        <v>17.5</v>
      </c>
      <c r="G1344" s="33"/>
      <c r="H1344" s="39">
        <f t="shared" si="158"/>
        <v>0</v>
      </c>
    </row>
    <row r="1345" ht="15.0" customHeight="1">
      <c r="A1345" s="35" t="s">
        <v>1677</v>
      </c>
      <c r="B1345" s="36">
        <v>2.0</v>
      </c>
      <c r="C1345" s="37">
        <v>10.0</v>
      </c>
      <c r="D1345" s="30">
        <v>4.008496525348E12</v>
      </c>
      <c r="E1345" s="38">
        <v>2.1</v>
      </c>
      <c r="F1345" s="32">
        <v>21.0</v>
      </c>
      <c r="G1345" s="33"/>
      <c r="H1345" s="39">
        <f t="shared" si="158"/>
        <v>0</v>
      </c>
    </row>
    <row r="1346" ht="15.0" customHeight="1">
      <c r="A1346" s="35" t="s">
        <v>1678</v>
      </c>
      <c r="B1346" s="36">
        <v>4.0</v>
      </c>
      <c r="C1346" s="37">
        <v>20.0</v>
      </c>
      <c r="D1346" s="30">
        <v>4.008496559435E12</v>
      </c>
      <c r="E1346" s="38">
        <v>1.5</v>
      </c>
      <c r="F1346" s="32">
        <v>30.0</v>
      </c>
      <c r="G1346" s="33"/>
      <c r="H1346" s="39">
        <f t="shared" si="158"/>
        <v>0</v>
      </c>
    </row>
    <row r="1347" ht="15.0" customHeight="1">
      <c r="A1347" s="35" t="s">
        <v>1679</v>
      </c>
      <c r="B1347" s="36">
        <v>4.0</v>
      </c>
      <c r="C1347" s="37">
        <v>10.0</v>
      </c>
      <c r="D1347" s="30">
        <v>4.008496559749E12</v>
      </c>
      <c r="E1347" s="38">
        <v>1.5</v>
      </c>
      <c r="F1347" s="32">
        <v>15.0</v>
      </c>
      <c r="G1347" s="33"/>
      <c r="H1347" s="39">
        <f t="shared" si="158"/>
        <v>0</v>
      </c>
    </row>
    <row r="1348" ht="15.0" customHeight="1">
      <c r="A1348" s="35" t="s">
        <v>1680</v>
      </c>
      <c r="B1348" s="36">
        <v>2.0</v>
      </c>
      <c r="C1348" s="37">
        <v>10.0</v>
      </c>
      <c r="D1348" s="30">
        <v>4.008496559312E12</v>
      </c>
      <c r="E1348" s="38">
        <v>1.75</v>
      </c>
      <c r="F1348" s="32">
        <v>17.5</v>
      </c>
      <c r="G1348" s="33"/>
      <c r="H1348" s="39">
        <f t="shared" si="158"/>
        <v>0</v>
      </c>
    </row>
    <row r="1349" ht="15.0" customHeight="1">
      <c r="A1349" s="35" t="s">
        <v>1681</v>
      </c>
      <c r="B1349" s="36">
        <v>2.0</v>
      </c>
      <c r="C1349" s="37">
        <v>10.0</v>
      </c>
      <c r="D1349" s="30">
        <v>4.008496559237E12</v>
      </c>
      <c r="E1349" s="38">
        <v>2.25</v>
      </c>
      <c r="F1349" s="32">
        <v>22.5</v>
      </c>
      <c r="G1349" s="33"/>
      <c r="H1349" s="39">
        <f t="shared" si="158"/>
        <v>0</v>
      </c>
    </row>
    <row r="1350" ht="15.0" customHeight="1">
      <c r="A1350" s="35" t="s">
        <v>1682</v>
      </c>
      <c r="B1350" s="36">
        <v>1.0</v>
      </c>
      <c r="C1350" s="37">
        <v>10.0</v>
      </c>
      <c r="D1350" s="30">
        <v>4.008496525423E12</v>
      </c>
      <c r="E1350" s="38">
        <v>1.5</v>
      </c>
      <c r="F1350" s="32">
        <v>15.0</v>
      </c>
      <c r="G1350" s="33"/>
      <c r="H1350" s="39">
        <f t="shared" si="158"/>
        <v>0</v>
      </c>
    </row>
    <row r="1351" ht="15.0" customHeight="1">
      <c r="A1351" s="35" t="s">
        <v>1683</v>
      </c>
      <c r="B1351" s="36">
        <v>1.0</v>
      </c>
      <c r="C1351" s="37">
        <v>10.0</v>
      </c>
      <c r="D1351" s="30">
        <v>4.008496559862E12</v>
      </c>
      <c r="E1351" s="38">
        <v>1.5</v>
      </c>
      <c r="F1351" s="32">
        <v>15.0</v>
      </c>
      <c r="G1351" s="33"/>
      <c r="H1351" s="39">
        <f t="shared" si="158"/>
        <v>0</v>
      </c>
    </row>
    <row r="1352" ht="15.0" customHeight="1">
      <c r="A1352" s="35" t="s">
        <v>1684</v>
      </c>
      <c r="B1352" s="36">
        <v>1.0</v>
      </c>
      <c r="C1352" s="37">
        <v>10.0</v>
      </c>
      <c r="D1352" s="30">
        <v>4.008496559947E12</v>
      </c>
      <c r="E1352" s="38">
        <v>2.5</v>
      </c>
      <c r="F1352" s="32">
        <v>25.0</v>
      </c>
      <c r="G1352" s="33"/>
      <c r="H1352" s="39">
        <f t="shared" si="158"/>
        <v>0</v>
      </c>
    </row>
    <row r="1353" ht="15.0" customHeight="1">
      <c r="A1353" s="35" t="s">
        <v>1685</v>
      </c>
      <c r="B1353" s="36">
        <v>1.0</v>
      </c>
      <c r="C1353" s="37">
        <v>10.0</v>
      </c>
      <c r="D1353" s="30">
        <v>4.008496261628E12</v>
      </c>
      <c r="E1353" s="38">
        <v>1.15</v>
      </c>
      <c r="F1353" s="32">
        <v>11.5</v>
      </c>
      <c r="G1353" s="33"/>
      <c r="H1353" s="39">
        <f t="shared" si="158"/>
        <v>0</v>
      </c>
    </row>
    <row r="1354" ht="15.0" customHeight="1">
      <c r="A1354" s="35" t="s">
        <v>1686</v>
      </c>
      <c r="B1354" s="36">
        <v>1.0</v>
      </c>
      <c r="C1354" s="37">
        <v>10.0</v>
      </c>
      <c r="D1354" s="30">
        <v>4.008496537365E12</v>
      </c>
      <c r="E1354" s="38">
        <v>2.75</v>
      </c>
      <c r="F1354" s="32">
        <v>27.5</v>
      </c>
      <c r="G1354" s="33"/>
      <c r="H1354" s="39">
        <f t="shared" si="158"/>
        <v>0</v>
      </c>
    </row>
    <row r="1355" ht="15.0" customHeight="1">
      <c r="A1355" s="35" t="s">
        <v>1687</v>
      </c>
      <c r="B1355" s="36">
        <v>1.0</v>
      </c>
      <c r="C1355" s="37">
        <v>10.0</v>
      </c>
      <c r="D1355" s="30">
        <v>4.00849653728E12</v>
      </c>
      <c r="E1355" s="38">
        <v>2.35</v>
      </c>
      <c r="F1355" s="32">
        <v>23.5</v>
      </c>
      <c r="G1355" s="33"/>
      <c r="H1355" s="39">
        <f t="shared" si="158"/>
        <v>0</v>
      </c>
    </row>
    <row r="1356" ht="15.0" customHeight="1">
      <c r="A1356" s="35" t="s">
        <v>1688</v>
      </c>
      <c r="B1356" s="36">
        <v>4.0</v>
      </c>
      <c r="C1356" s="37">
        <v>10.0</v>
      </c>
      <c r="D1356" s="30">
        <v>4.008496625321E12</v>
      </c>
      <c r="E1356" s="38">
        <v>5.05</v>
      </c>
      <c r="F1356" s="32">
        <v>50.5</v>
      </c>
      <c r="G1356" s="33"/>
      <c r="H1356" s="39">
        <f t="shared" si="158"/>
        <v>0</v>
      </c>
    </row>
    <row r="1357" ht="15.0" customHeight="1">
      <c r="A1357" s="35" t="s">
        <v>1689</v>
      </c>
      <c r="B1357" s="36">
        <v>4.0</v>
      </c>
      <c r="C1357" s="37">
        <v>10.0</v>
      </c>
      <c r="D1357" s="30">
        <v>4.008496625284E12</v>
      </c>
      <c r="E1357" s="38">
        <v>5.6</v>
      </c>
      <c r="F1357" s="32">
        <v>56.0</v>
      </c>
      <c r="G1357" s="33"/>
      <c r="H1357" s="39">
        <f t="shared" si="158"/>
        <v>0</v>
      </c>
    </row>
    <row r="1358" ht="15.0" customHeight="1">
      <c r="A1358" s="35" t="s">
        <v>1690</v>
      </c>
      <c r="B1358" s="36">
        <v>1.0</v>
      </c>
      <c r="C1358" s="37">
        <v>10.0</v>
      </c>
      <c r="D1358" s="30">
        <v>4.008496276639E12</v>
      </c>
      <c r="E1358" s="38">
        <v>0.8</v>
      </c>
      <c r="F1358" s="32">
        <v>8.0</v>
      </c>
      <c r="G1358" s="33"/>
      <c r="H1358" s="39">
        <f t="shared" si="158"/>
        <v>0</v>
      </c>
    </row>
    <row r="1359" ht="15.0" customHeight="1">
      <c r="A1359" s="35" t="s">
        <v>1691</v>
      </c>
      <c r="B1359" s="36">
        <v>1.0</v>
      </c>
      <c r="C1359" s="37">
        <v>10.0</v>
      </c>
      <c r="D1359" s="30">
        <v>4.008496276875E12</v>
      </c>
      <c r="E1359" s="38">
        <v>0.8</v>
      </c>
      <c r="F1359" s="32">
        <v>8.0</v>
      </c>
      <c r="G1359" s="33"/>
      <c r="H1359" s="39">
        <f t="shared" si="158"/>
        <v>0</v>
      </c>
    </row>
    <row r="1360" ht="15.0" customHeight="1">
      <c r="A1360" s="35" t="s">
        <v>1692</v>
      </c>
      <c r="B1360" s="36">
        <v>1.0</v>
      </c>
      <c r="C1360" s="37">
        <v>10.0</v>
      </c>
      <c r="D1360" s="30">
        <v>4.008496276882E12</v>
      </c>
      <c r="E1360" s="38">
        <v>0.8</v>
      </c>
      <c r="F1360" s="32">
        <v>8.0</v>
      </c>
      <c r="G1360" s="33"/>
      <c r="H1360" s="39">
        <f t="shared" si="158"/>
        <v>0</v>
      </c>
    </row>
    <row r="1361" ht="15.0" customHeight="1">
      <c r="A1361" s="35" t="s">
        <v>1693</v>
      </c>
      <c r="B1361" s="36">
        <v>1.0</v>
      </c>
      <c r="C1361" s="37">
        <v>10.0</v>
      </c>
      <c r="D1361" s="30">
        <v>4.008496297641E12</v>
      </c>
      <c r="E1361" s="38">
        <v>0.8</v>
      </c>
      <c r="F1361" s="32">
        <v>8.0</v>
      </c>
      <c r="G1361" s="33"/>
      <c r="H1361" s="39">
        <f t="shared" si="158"/>
        <v>0</v>
      </c>
    </row>
    <row r="1362" ht="15.0" customHeight="1">
      <c r="A1362" s="35" t="s">
        <v>1694</v>
      </c>
      <c r="B1362" s="36">
        <v>1.0</v>
      </c>
      <c r="C1362" s="37">
        <v>10.0</v>
      </c>
      <c r="D1362" s="30">
        <v>4.008496270989E12</v>
      </c>
      <c r="E1362" s="38">
        <v>1.25</v>
      </c>
      <c r="F1362" s="32">
        <v>12.5</v>
      </c>
      <c r="G1362" s="33"/>
      <c r="H1362" s="39">
        <f t="shared" si="158"/>
        <v>0</v>
      </c>
    </row>
    <row r="1363" ht="15.0" customHeight="1">
      <c r="A1363" s="35" t="s">
        <v>1695</v>
      </c>
      <c r="B1363" s="36">
        <v>2.0</v>
      </c>
      <c r="C1363" s="37">
        <v>10.0</v>
      </c>
      <c r="D1363" s="30">
        <v>4.008496746385E12</v>
      </c>
      <c r="E1363" s="38">
        <v>1.25</v>
      </c>
      <c r="F1363" s="32">
        <v>12.5</v>
      </c>
      <c r="G1363" s="33"/>
      <c r="H1363" s="39">
        <f t="shared" si="158"/>
        <v>0</v>
      </c>
    </row>
    <row r="1364" ht="15.0" customHeight="1">
      <c r="A1364" s="35" t="s">
        <v>1696</v>
      </c>
      <c r="B1364" s="36">
        <v>2.0</v>
      </c>
      <c r="C1364" s="37">
        <v>10.0</v>
      </c>
      <c r="D1364" s="30">
        <v>4.008496746422E12</v>
      </c>
      <c r="E1364" s="38">
        <v>1.25</v>
      </c>
      <c r="F1364" s="32">
        <v>12.5</v>
      </c>
      <c r="G1364" s="33"/>
      <c r="H1364" s="39">
        <f t="shared" si="158"/>
        <v>0</v>
      </c>
    </row>
    <row r="1365" ht="15.0" customHeight="1">
      <c r="A1365" s="35" t="s">
        <v>1697</v>
      </c>
      <c r="B1365" s="36">
        <v>2.0</v>
      </c>
      <c r="C1365" s="37">
        <v>10.0</v>
      </c>
      <c r="D1365" s="30">
        <v>4.00849674646E12</v>
      </c>
      <c r="E1365" s="38">
        <v>1.25</v>
      </c>
      <c r="F1365" s="32">
        <v>12.5</v>
      </c>
      <c r="G1365" s="33"/>
      <c r="H1365" s="39">
        <f t="shared" si="158"/>
        <v>0</v>
      </c>
    </row>
    <row r="1366" ht="15.0" customHeight="1">
      <c r="A1366" s="35" t="s">
        <v>1698</v>
      </c>
      <c r="B1366" s="36" t="s">
        <v>1059</v>
      </c>
      <c r="C1366" s="37">
        <v>1.0</v>
      </c>
      <c r="D1366" s="30">
        <v>4.008496632985E12</v>
      </c>
      <c r="E1366" s="31"/>
      <c r="F1366" s="32"/>
      <c r="G1366" s="33"/>
      <c r="H1366" s="39"/>
    </row>
    <row r="1367" ht="15.0" customHeight="1">
      <c r="A1367" s="35" t="s">
        <v>1699</v>
      </c>
      <c r="B1367" s="36" t="s">
        <v>1059</v>
      </c>
      <c r="C1367" s="37">
        <v>1.0</v>
      </c>
      <c r="D1367" s="30">
        <v>4.008496633029E12</v>
      </c>
      <c r="E1367" s="31"/>
      <c r="F1367" s="32"/>
      <c r="G1367" s="33"/>
      <c r="H1367" s="39"/>
    </row>
    <row r="1368" ht="15.0" customHeight="1">
      <c r="A1368" s="35" t="s">
        <v>1700</v>
      </c>
      <c r="B1368" s="36" t="s">
        <v>1059</v>
      </c>
      <c r="C1368" s="37">
        <v>1.0</v>
      </c>
      <c r="D1368" s="30">
        <v>4.008496865529E12</v>
      </c>
      <c r="E1368" s="31"/>
      <c r="F1368" s="32"/>
      <c r="G1368" s="33"/>
      <c r="H1368" s="39"/>
    </row>
    <row r="1369" ht="15.0" customHeight="1">
      <c r="A1369" s="35" t="s">
        <v>1701</v>
      </c>
      <c r="B1369" s="36" t="s">
        <v>1059</v>
      </c>
      <c r="C1369" s="37">
        <v>1.0</v>
      </c>
      <c r="D1369" s="30">
        <v>4.008496732586E12</v>
      </c>
      <c r="E1369" s="31"/>
      <c r="F1369" s="32"/>
      <c r="G1369" s="33"/>
      <c r="H1369" s="39"/>
    </row>
    <row r="1370" ht="15.0" customHeight="1">
      <c r="A1370" s="35" t="s">
        <v>1702</v>
      </c>
      <c r="B1370" s="36" t="s">
        <v>1059</v>
      </c>
      <c r="C1370" s="37">
        <v>1.0</v>
      </c>
      <c r="D1370" s="30">
        <v>4.008496261314E12</v>
      </c>
      <c r="E1370" s="31"/>
      <c r="F1370" s="32"/>
      <c r="G1370" s="33"/>
      <c r="H1370" s="39"/>
    </row>
    <row r="1371" ht="15.0" customHeight="1">
      <c r="A1371" s="35" t="s">
        <v>1703</v>
      </c>
      <c r="B1371" s="36" t="s">
        <v>1059</v>
      </c>
      <c r="C1371" s="37">
        <v>1.0</v>
      </c>
      <c r="D1371" s="30">
        <v>4.008496633043E12</v>
      </c>
      <c r="E1371" s="31"/>
      <c r="F1371" s="32"/>
      <c r="G1371" s="33"/>
      <c r="H1371" s="39"/>
    </row>
    <row r="1372" ht="15.0" customHeight="1">
      <c r="A1372" s="90" t="s">
        <v>1704</v>
      </c>
      <c r="B1372" s="91"/>
      <c r="C1372" s="92"/>
      <c r="D1372" s="93"/>
      <c r="E1372" s="31"/>
      <c r="F1372" s="32"/>
      <c r="G1372" s="33"/>
      <c r="H1372" s="39"/>
    </row>
    <row r="1373" ht="15.0" customHeight="1">
      <c r="A1373" s="27" t="s">
        <v>1705</v>
      </c>
      <c r="B1373" s="28"/>
      <c r="C1373" s="29"/>
      <c r="D1373" s="30"/>
      <c r="E1373" s="31"/>
      <c r="F1373" s="32"/>
      <c r="G1373" s="33"/>
      <c r="H1373" s="39"/>
    </row>
    <row r="1374" ht="15.0" customHeight="1">
      <c r="A1374" s="35" t="s">
        <v>1706</v>
      </c>
      <c r="B1374" s="36" t="s">
        <v>1059</v>
      </c>
      <c r="C1374" s="37">
        <v>1.0</v>
      </c>
      <c r="D1374" s="30" t="s">
        <v>1059</v>
      </c>
      <c r="E1374" s="31"/>
      <c r="F1374" s="32"/>
      <c r="G1374" s="33"/>
      <c r="H1374" s="39"/>
    </row>
    <row r="1375" ht="15.0" customHeight="1">
      <c r="A1375" s="35" t="s">
        <v>1707</v>
      </c>
      <c r="B1375" s="36" t="s">
        <v>1059</v>
      </c>
      <c r="C1375" s="37">
        <v>1.0</v>
      </c>
      <c r="D1375" s="30" t="s">
        <v>1059</v>
      </c>
      <c r="E1375" s="31"/>
      <c r="F1375" s="32"/>
      <c r="G1375" s="33"/>
      <c r="H1375" s="39"/>
    </row>
    <row r="1376" ht="15.0" customHeight="1">
      <c r="A1376" s="35" t="s">
        <v>1708</v>
      </c>
      <c r="B1376" s="36" t="s">
        <v>1059</v>
      </c>
      <c r="C1376" s="37">
        <v>1.0</v>
      </c>
      <c r="D1376" s="30" t="s">
        <v>1059</v>
      </c>
      <c r="E1376" s="31"/>
      <c r="F1376" s="32"/>
      <c r="G1376" s="33"/>
      <c r="H1376" s="39"/>
    </row>
    <row r="1377" ht="15.0" customHeight="1">
      <c r="A1377" s="35" t="s">
        <v>1709</v>
      </c>
      <c r="B1377" s="36" t="s">
        <v>1059</v>
      </c>
      <c r="C1377" s="37">
        <v>1.0</v>
      </c>
      <c r="D1377" s="30" t="s">
        <v>1059</v>
      </c>
      <c r="E1377" s="31"/>
      <c r="F1377" s="32"/>
      <c r="G1377" s="33"/>
      <c r="H1377" s="39"/>
    </row>
    <row r="1378" ht="15.0" customHeight="1">
      <c r="A1378" s="27" t="s">
        <v>1710</v>
      </c>
      <c r="B1378" s="28"/>
      <c r="C1378" s="29"/>
      <c r="D1378" s="30"/>
      <c r="E1378" s="31"/>
      <c r="F1378" s="32"/>
      <c r="G1378" s="33"/>
      <c r="H1378" s="39"/>
    </row>
    <row r="1379" ht="15.0" customHeight="1">
      <c r="A1379" s="35" t="s">
        <v>1711</v>
      </c>
      <c r="B1379" s="36" t="s">
        <v>1712</v>
      </c>
      <c r="C1379" s="37">
        <v>5.0</v>
      </c>
      <c r="D1379" s="30">
        <v>3.760295911203E12</v>
      </c>
      <c r="E1379" s="38">
        <v>2.95</v>
      </c>
      <c r="F1379" s="32">
        <v>14.75</v>
      </c>
      <c r="G1379" s="33"/>
      <c r="H1379" s="39">
        <f t="shared" ref="H1379:H1384" si="159">G1379*F1379</f>
        <v>0</v>
      </c>
    </row>
    <row r="1380" ht="15.0" customHeight="1">
      <c r="A1380" s="35" t="s">
        <v>1713</v>
      </c>
      <c r="B1380" s="36" t="s">
        <v>1712</v>
      </c>
      <c r="C1380" s="37">
        <v>5.0</v>
      </c>
      <c r="D1380" s="30">
        <v>3.760295911104E12</v>
      </c>
      <c r="E1380" s="38">
        <v>2.95</v>
      </c>
      <c r="F1380" s="32">
        <v>14.75</v>
      </c>
      <c r="G1380" s="33"/>
      <c r="H1380" s="39">
        <f t="shared" si="159"/>
        <v>0</v>
      </c>
    </row>
    <row r="1381" ht="15.0" customHeight="1">
      <c r="A1381" s="35" t="s">
        <v>1714</v>
      </c>
      <c r="B1381" s="36" t="s">
        <v>1712</v>
      </c>
      <c r="C1381" s="37">
        <v>5.0</v>
      </c>
      <c r="D1381" s="30">
        <v>3.760295911012E12</v>
      </c>
      <c r="E1381" s="38">
        <v>2.95</v>
      </c>
      <c r="F1381" s="32">
        <v>14.75</v>
      </c>
      <c r="G1381" s="33"/>
      <c r="H1381" s="39">
        <f t="shared" si="159"/>
        <v>0</v>
      </c>
    </row>
    <row r="1382" ht="15.0" customHeight="1">
      <c r="A1382" s="35" t="s">
        <v>1715</v>
      </c>
      <c r="B1382" s="36" t="s">
        <v>1716</v>
      </c>
      <c r="C1382" s="37">
        <v>5.0</v>
      </c>
      <c r="D1382" s="30">
        <v>3.760295911227E12</v>
      </c>
      <c r="E1382" s="38">
        <v>4.15</v>
      </c>
      <c r="F1382" s="32">
        <v>20.75</v>
      </c>
      <c r="G1382" s="33"/>
      <c r="H1382" s="39">
        <f t="shared" si="159"/>
        <v>0</v>
      </c>
    </row>
    <row r="1383" ht="15.0" customHeight="1">
      <c r="A1383" s="35" t="s">
        <v>1717</v>
      </c>
      <c r="B1383" s="36" t="s">
        <v>1716</v>
      </c>
      <c r="C1383" s="37">
        <v>5.0</v>
      </c>
      <c r="D1383" s="30">
        <v>3.760295911128E12</v>
      </c>
      <c r="E1383" s="38">
        <v>4.15</v>
      </c>
      <c r="F1383" s="32">
        <v>20.75</v>
      </c>
      <c r="G1383" s="33"/>
      <c r="H1383" s="39">
        <f t="shared" si="159"/>
        <v>0</v>
      </c>
    </row>
    <row r="1384" ht="15.0" customHeight="1">
      <c r="A1384" s="35" t="s">
        <v>1718</v>
      </c>
      <c r="B1384" s="36" t="s">
        <v>1712</v>
      </c>
      <c r="C1384" s="37">
        <v>5.0</v>
      </c>
      <c r="D1384" s="30">
        <v>3.760295910923E12</v>
      </c>
      <c r="E1384" s="38">
        <v>4.75</v>
      </c>
      <c r="F1384" s="32">
        <v>23.75</v>
      </c>
      <c r="G1384" s="33"/>
      <c r="H1384" s="39">
        <f t="shared" si="159"/>
        <v>0</v>
      </c>
    </row>
    <row r="1385" ht="15.0" customHeight="1">
      <c r="A1385" s="176" t="s">
        <v>1719</v>
      </c>
      <c r="B1385" s="123"/>
      <c r="C1385" s="124"/>
      <c r="D1385" s="30"/>
      <c r="E1385" s="31"/>
      <c r="F1385" s="32"/>
      <c r="G1385" s="33"/>
      <c r="H1385" s="39"/>
    </row>
    <row r="1386" ht="15.0" customHeight="1">
      <c r="A1386" s="35" t="s">
        <v>1720</v>
      </c>
      <c r="B1386" s="36" t="s">
        <v>1721</v>
      </c>
      <c r="C1386" s="37">
        <v>5.0</v>
      </c>
      <c r="D1386" s="30">
        <v>3.760295910374E12</v>
      </c>
      <c r="E1386" s="38">
        <v>4.75</v>
      </c>
      <c r="F1386" s="32">
        <v>23.75</v>
      </c>
      <c r="G1386" s="33"/>
      <c r="H1386" s="39">
        <f t="shared" ref="H1386:H1387" si="160">G1386*F1386</f>
        <v>0</v>
      </c>
    </row>
    <row r="1387" ht="15.0" customHeight="1">
      <c r="A1387" s="35" t="s">
        <v>1722</v>
      </c>
      <c r="B1387" s="36" t="s">
        <v>1721</v>
      </c>
      <c r="C1387" s="37">
        <v>5.0</v>
      </c>
      <c r="D1387" s="30">
        <v>3.760295910367E12</v>
      </c>
      <c r="E1387" s="38">
        <v>4.75</v>
      </c>
      <c r="F1387" s="32">
        <v>23.75</v>
      </c>
      <c r="G1387" s="33"/>
      <c r="H1387" s="39">
        <f t="shared" si="160"/>
        <v>0</v>
      </c>
    </row>
    <row r="1388" ht="15.0" customHeight="1">
      <c r="A1388" s="176" t="s">
        <v>1723</v>
      </c>
      <c r="B1388" s="123"/>
      <c r="C1388" s="124"/>
      <c r="D1388" s="30"/>
      <c r="E1388" s="31"/>
      <c r="F1388" s="32"/>
      <c r="G1388" s="33"/>
      <c r="H1388" s="39"/>
    </row>
    <row r="1389" ht="15.0" customHeight="1">
      <c r="A1389" s="35" t="s">
        <v>1724</v>
      </c>
      <c r="B1389" s="36" t="s">
        <v>1721</v>
      </c>
      <c r="C1389" s="37">
        <v>5.0</v>
      </c>
      <c r="D1389" s="30">
        <v>3.760295911111E12</v>
      </c>
      <c r="E1389" s="38">
        <v>3.65</v>
      </c>
      <c r="F1389" s="32">
        <v>18.25</v>
      </c>
      <c r="G1389" s="33"/>
      <c r="H1389" s="39">
        <f t="shared" ref="H1389:H1392" si="161">G1389*F1389</f>
        <v>0</v>
      </c>
    </row>
    <row r="1390" ht="15.0" customHeight="1">
      <c r="A1390" s="35" t="s">
        <v>1725</v>
      </c>
      <c r="B1390" s="36" t="s">
        <v>1721</v>
      </c>
      <c r="C1390" s="37">
        <v>5.0</v>
      </c>
      <c r="D1390" s="30">
        <v>3.760295911319E12</v>
      </c>
      <c r="E1390" s="38">
        <v>3.65</v>
      </c>
      <c r="F1390" s="32">
        <v>18.25</v>
      </c>
      <c r="G1390" s="33"/>
      <c r="H1390" s="39">
        <f t="shared" si="161"/>
        <v>0</v>
      </c>
    </row>
    <row r="1391" ht="15.0" customHeight="1">
      <c r="A1391" s="35" t="s">
        <v>1726</v>
      </c>
      <c r="B1391" s="36" t="s">
        <v>1721</v>
      </c>
      <c r="C1391" s="37">
        <v>5.0</v>
      </c>
      <c r="D1391" s="30">
        <v>3.76029591121E12</v>
      </c>
      <c r="E1391" s="38">
        <v>3.65</v>
      </c>
      <c r="F1391" s="32">
        <v>18.25</v>
      </c>
      <c r="G1391" s="33"/>
      <c r="H1391" s="39">
        <f t="shared" si="161"/>
        <v>0</v>
      </c>
    </row>
    <row r="1392" ht="15.0" customHeight="1">
      <c r="A1392" s="35" t="s">
        <v>1727</v>
      </c>
      <c r="B1392" s="36" t="s">
        <v>1712</v>
      </c>
      <c r="C1392" s="37">
        <v>5.0</v>
      </c>
      <c r="D1392" s="30">
        <v>3.760295911401E12</v>
      </c>
      <c r="E1392" s="38">
        <v>3.65</v>
      </c>
      <c r="F1392" s="32">
        <v>18.25</v>
      </c>
      <c r="G1392" s="33"/>
      <c r="H1392" s="39">
        <f t="shared" si="161"/>
        <v>0</v>
      </c>
    </row>
    <row r="1393" ht="15.0" customHeight="1">
      <c r="A1393" s="27" t="s">
        <v>1728</v>
      </c>
      <c r="B1393" s="28"/>
      <c r="C1393" s="29"/>
      <c r="D1393" s="30"/>
      <c r="E1393" s="31"/>
      <c r="F1393" s="32"/>
      <c r="G1393" s="33"/>
      <c r="H1393" s="39"/>
    </row>
    <row r="1394" ht="15.0" customHeight="1">
      <c r="A1394" s="35" t="s">
        <v>1729</v>
      </c>
      <c r="B1394" s="28"/>
      <c r="C1394" s="37">
        <v>5.0</v>
      </c>
      <c r="D1394" s="30">
        <v>3.760295912002E12</v>
      </c>
      <c r="E1394" s="38">
        <v>4.95</v>
      </c>
      <c r="F1394" s="32">
        <v>24.75</v>
      </c>
      <c r="G1394" s="33"/>
      <c r="H1394" s="39">
        <f t="shared" ref="H1394:H1397" si="162">G1394*F1394</f>
        <v>0</v>
      </c>
    </row>
    <row r="1395" ht="15.0" customHeight="1">
      <c r="A1395" s="35" t="s">
        <v>1730</v>
      </c>
      <c r="B1395" s="28"/>
      <c r="C1395" s="37">
        <v>5.0</v>
      </c>
      <c r="D1395" s="30">
        <v>3.760295910541E12</v>
      </c>
      <c r="E1395" s="38">
        <v>6.5</v>
      </c>
      <c r="F1395" s="32">
        <v>32.5</v>
      </c>
      <c r="G1395" s="33"/>
      <c r="H1395" s="39">
        <f t="shared" si="162"/>
        <v>0</v>
      </c>
    </row>
    <row r="1396" ht="15.0" customHeight="1">
      <c r="A1396" s="35" t="s">
        <v>1731</v>
      </c>
      <c r="B1396" s="28"/>
      <c r="C1396" s="37">
        <v>5.0</v>
      </c>
      <c r="D1396" s="30">
        <v>3.760295910978E12</v>
      </c>
      <c r="E1396" s="38">
        <v>6.5</v>
      </c>
      <c r="F1396" s="32">
        <v>32.5</v>
      </c>
      <c r="G1396" s="33"/>
      <c r="H1396" s="39">
        <f t="shared" si="162"/>
        <v>0</v>
      </c>
    </row>
    <row r="1397" ht="15.0" customHeight="1">
      <c r="A1397" s="35" t="s">
        <v>1732</v>
      </c>
      <c r="B1397" s="28"/>
      <c r="C1397" s="37">
        <v>1.0</v>
      </c>
      <c r="D1397" s="30">
        <v>3.760295911425E12</v>
      </c>
      <c r="E1397" s="38">
        <v>19.9</v>
      </c>
      <c r="F1397" s="32">
        <v>19.9</v>
      </c>
      <c r="G1397" s="33"/>
      <c r="H1397" s="39">
        <f t="shared" si="162"/>
        <v>0</v>
      </c>
    </row>
    <row r="1398" ht="15.0" customHeight="1">
      <c r="A1398" s="27" t="s">
        <v>1733</v>
      </c>
      <c r="B1398" s="28"/>
      <c r="C1398" s="29"/>
      <c r="D1398" s="30"/>
      <c r="E1398" s="31"/>
      <c r="F1398" s="32"/>
      <c r="G1398" s="33"/>
      <c r="H1398" s="39"/>
    </row>
    <row r="1399" ht="15.0" customHeight="1">
      <c r="A1399" s="35" t="s">
        <v>1734</v>
      </c>
      <c r="B1399" s="28"/>
      <c r="C1399" s="37">
        <v>5.0</v>
      </c>
      <c r="D1399" s="30">
        <v>3.760295910381E12</v>
      </c>
      <c r="E1399" s="38">
        <v>5.5</v>
      </c>
      <c r="F1399" s="32">
        <v>27.5</v>
      </c>
      <c r="G1399" s="33"/>
      <c r="H1399" s="39">
        <f t="shared" ref="H1399:H1402" si="163">G1399*F1399</f>
        <v>0</v>
      </c>
    </row>
    <row r="1400" ht="15.0" customHeight="1">
      <c r="A1400" s="35" t="s">
        <v>1735</v>
      </c>
      <c r="B1400" s="28"/>
      <c r="C1400" s="37">
        <v>5.0</v>
      </c>
      <c r="D1400" s="30">
        <v>3.760295910152E12</v>
      </c>
      <c r="E1400" s="38">
        <v>5.45</v>
      </c>
      <c r="F1400" s="32">
        <v>27.25</v>
      </c>
      <c r="G1400" s="33"/>
      <c r="H1400" s="39">
        <f t="shared" si="163"/>
        <v>0</v>
      </c>
    </row>
    <row r="1401" ht="15.0" customHeight="1">
      <c r="A1401" s="35" t="s">
        <v>1736</v>
      </c>
      <c r="B1401" s="28"/>
      <c r="C1401" s="37">
        <v>5.0</v>
      </c>
      <c r="D1401" s="30">
        <v>3.760295910985E12</v>
      </c>
      <c r="E1401" s="38">
        <v>2.85</v>
      </c>
      <c r="F1401" s="32">
        <v>14.25</v>
      </c>
      <c r="G1401" s="33"/>
      <c r="H1401" s="39">
        <f t="shared" si="163"/>
        <v>0</v>
      </c>
    </row>
    <row r="1402" ht="15.0" customHeight="1">
      <c r="A1402" s="35" t="s">
        <v>1737</v>
      </c>
      <c r="B1402" s="28"/>
      <c r="C1402" s="37">
        <v>20.0</v>
      </c>
      <c r="D1402" s="30">
        <v>3.760295910794E12</v>
      </c>
      <c r="E1402" s="38">
        <v>2.15</v>
      </c>
      <c r="F1402" s="32">
        <v>43.0</v>
      </c>
      <c r="G1402" s="33"/>
      <c r="H1402" s="39">
        <f t="shared" si="163"/>
        <v>0</v>
      </c>
    </row>
    <row r="1403" ht="15.0" customHeight="1">
      <c r="A1403" s="27" t="s">
        <v>1738</v>
      </c>
      <c r="B1403" s="28"/>
      <c r="C1403" s="29"/>
      <c r="D1403" s="30"/>
      <c r="E1403" s="31"/>
      <c r="F1403" s="32"/>
      <c r="G1403" s="33"/>
      <c r="H1403" s="39"/>
    </row>
    <row r="1404" ht="15.0" customHeight="1">
      <c r="A1404" s="35" t="s">
        <v>1739</v>
      </c>
      <c r="B1404" s="28"/>
      <c r="C1404" s="37">
        <v>1.0</v>
      </c>
      <c r="D1404" s="30">
        <v>3.760295911043E12</v>
      </c>
      <c r="E1404" s="38">
        <v>12.9</v>
      </c>
      <c r="F1404" s="32">
        <v>12.9</v>
      </c>
      <c r="G1404" s="33"/>
      <c r="H1404" s="39">
        <f t="shared" ref="H1404:H1406" si="164">G1404*F1404</f>
        <v>0</v>
      </c>
    </row>
    <row r="1405" ht="15.0" customHeight="1">
      <c r="A1405" s="35" t="s">
        <v>1740</v>
      </c>
      <c r="B1405" s="28"/>
      <c r="C1405" s="37">
        <v>1.0</v>
      </c>
      <c r="D1405" s="30">
        <v>3.760266161637E12</v>
      </c>
      <c r="E1405" s="38">
        <v>14.9</v>
      </c>
      <c r="F1405" s="32">
        <v>14.9</v>
      </c>
      <c r="G1405" s="33"/>
      <c r="H1405" s="39">
        <f t="shared" si="164"/>
        <v>0</v>
      </c>
    </row>
    <row r="1406" ht="15.0" customHeight="1">
      <c r="A1406" s="35" t="s">
        <v>1741</v>
      </c>
      <c r="B1406" s="123"/>
      <c r="C1406" s="37">
        <v>1.0</v>
      </c>
      <c r="D1406" s="30">
        <v>3.54416556375E12</v>
      </c>
      <c r="E1406" s="38">
        <v>14.9</v>
      </c>
      <c r="F1406" s="32">
        <v>14.9</v>
      </c>
      <c r="G1406" s="33"/>
      <c r="H1406" s="39">
        <f t="shared" si="164"/>
        <v>0</v>
      </c>
    </row>
    <row r="1407" ht="15.0" customHeight="1">
      <c r="A1407" s="27" t="s">
        <v>1742</v>
      </c>
      <c r="B1407" s="28"/>
      <c r="C1407" s="29"/>
      <c r="D1407" s="30"/>
      <c r="E1407" s="31"/>
      <c r="F1407" s="32"/>
      <c r="G1407" s="33"/>
      <c r="H1407" s="39"/>
    </row>
    <row r="1408" ht="15.0" customHeight="1">
      <c r="A1408" s="35" t="s">
        <v>1743</v>
      </c>
      <c r="B1408" s="28"/>
      <c r="C1408" s="37">
        <v>1.0</v>
      </c>
      <c r="D1408" s="30">
        <v>3.76029591432E11</v>
      </c>
      <c r="E1408" s="38">
        <v>20.9</v>
      </c>
      <c r="F1408" s="32">
        <v>20.9</v>
      </c>
      <c r="G1408" s="33"/>
      <c r="H1408" s="39">
        <f>G1408*F1408</f>
        <v>0</v>
      </c>
    </row>
    <row r="1409" ht="15.0" customHeight="1">
      <c r="A1409" s="27" t="s">
        <v>1744</v>
      </c>
      <c r="B1409" s="28"/>
      <c r="C1409" s="29"/>
      <c r="D1409" s="30"/>
      <c r="E1409" s="31"/>
      <c r="F1409" s="32"/>
      <c r="G1409" s="33"/>
      <c r="H1409" s="39"/>
    </row>
    <row r="1410" ht="15.0" customHeight="1">
      <c r="A1410" s="35" t="s">
        <v>1745</v>
      </c>
      <c r="B1410" s="28"/>
      <c r="C1410" s="37">
        <v>5.0</v>
      </c>
      <c r="D1410" s="30">
        <v>3.76029591051E12</v>
      </c>
      <c r="E1410" s="38">
        <v>3.95</v>
      </c>
      <c r="F1410" s="32">
        <v>19.75</v>
      </c>
      <c r="G1410" s="33"/>
      <c r="H1410" s="39">
        <f t="shared" ref="H1410:H1412" si="165">G1410*F1410</f>
        <v>0</v>
      </c>
    </row>
    <row r="1411" ht="15.0" customHeight="1">
      <c r="A1411" s="35" t="s">
        <v>1746</v>
      </c>
      <c r="B1411" s="28"/>
      <c r="C1411" s="37">
        <v>5.0</v>
      </c>
      <c r="D1411" s="30">
        <v>3.760295910404E12</v>
      </c>
      <c r="E1411" s="38">
        <v>5.55</v>
      </c>
      <c r="F1411" s="32">
        <v>27.75</v>
      </c>
      <c r="G1411" s="33"/>
      <c r="H1411" s="39">
        <f t="shared" si="165"/>
        <v>0</v>
      </c>
    </row>
    <row r="1412" ht="15.0" customHeight="1">
      <c r="A1412" s="35" t="s">
        <v>1747</v>
      </c>
      <c r="B1412" s="28"/>
      <c r="C1412" s="37">
        <v>5.0</v>
      </c>
      <c r="D1412" s="30" t="s">
        <v>1748</v>
      </c>
      <c r="E1412" s="38">
        <v>5.55</v>
      </c>
      <c r="F1412" s="32">
        <v>27.75</v>
      </c>
      <c r="G1412" s="33"/>
      <c r="H1412" s="39">
        <f t="shared" si="165"/>
        <v>0</v>
      </c>
    </row>
    <row r="1413" ht="15.0" customHeight="1">
      <c r="A1413" s="27" t="s">
        <v>1749</v>
      </c>
      <c r="B1413" s="28"/>
      <c r="C1413" s="29"/>
      <c r="D1413" s="30"/>
      <c r="E1413" s="31"/>
      <c r="F1413" s="32"/>
      <c r="G1413" s="33"/>
      <c r="H1413" s="39"/>
    </row>
    <row r="1414" ht="15.0" customHeight="1">
      <c r="A1414" s="35" t="s">
        <v>1750</v>
      </c>
      <c r="B1414" s="28"/>
      <c r="C1414" s="37">
        <v>1.0</v>
      </c>
      <c r="D1414" s="30">
        <v>3.7602959108E12</v>
      </c>
      <c r="E1414" s="38">
        <v>19.99</v>
      </c>
      <c r="F1414" s="32">
        <v>19.99</v>
      </c>
      <c r="G1414" s="33"/>
      <c r="H1414" s="39">
        <f t="shared" ref="H1414:H1415" si="166">G1414*F1414</f>
        <v>0</v>
      </c>
    </row>
    <row r="1415" ht="15.0" customHeight="1">
      <c r="A1415" s="35" t="s">
        <v>1751</v>
      </c>
      <c r="B1415" s="28"/>
      <c r="C1415" s="37">
        <v>1.0</v>
      </c>
      <c r="D1415" s="30">
        <v>3.760295910442E12</v>
      </c>
      <c r="E1415" s="38">
        <v>29.9</v>
      </c>
      <c r="F1415" s="32">
        <v>29.9</v>
      </c>
      <c r="G1415" s="33"/>
      <c r="H1415" s="39">
        <f t="shared" si="166"/>
        <v>0</v>
      </c>
    </row>
    <row r="1416" ht="15.0" customHeight="1">
      <c r="A1416" s="27" t="s">
        <v>1752</v>
      </c>
      <c r="B1416" s="28"/>
      <c r="C1416" s="29"/>
      <c r="D1416" s="30"/>
      <c r="E1416" s="31"/>
      <c r="F1416" s="32"/>
      <c r="G1416" s="33"/>
      <c r="H1416" s="39"/>
    </row>
    <row r="1417" ht="15.0" customHeight="1">
      <c r="A1417" s="35" t="s">
        <v>1753</v>
      </c>
      <c r="B1417" s="28"/>
      <c r="C1417" s="37">
        <v>5.0</v>
      </c>
      <c r="D1417" s="30">
        <v>3.760295911531E12</v>
      </c>
      <c r="E1417" s="38">
        <v>3.95</v>
      </c>
      <c r="F1417" s="32">
        <v>19.75</v>
      </c>
      <c r="G1417" s="33"/>
      <c r="H1417" s="39">
        <f t="shared" ref="H1417:H1420" si="167">G1417*F1417</f>
        <v>0</v>
      </c>
    </row>
    <row r="1418" ht="15.0" customHeight="1">
      <c r="A1418" s="35" t="s">
        <v>1754</v>
      </c>
      <c r="B1418" s="28"/>
      <c r="C1418" s="37">
        <v>5.0</v>
      </c>
      <c r="D1418" s="30">
        <v>3.760295911647E12</v>
      </c>
      <c r="E1418" s="38">
        <v>5.45</v>
      </c>
      <c r="F1418" s="32">
        <v>27.25</v>
      </c>
      <c r="G1418" s="33"/>
      <c r="H1418" s="39">
        <f t="shared" si="167"/>
        <v>0</v>
      </c>
    </row>
    <row r="1419" ht="15.0" customHeight="1">
      <c r="A1419" s="35" t="s">
        <v>1755</v>
      </c>
      <c r="B1419" s="28"/>
      <c r="C1419" s="37">
        <v>5.0</v>
      </c>
      <c r="D1419" s="30">
        <v>3.76029591163E12</v>
      </c>
      <c r="E1419" s="38">
        <v>5.45</v>
      </c>
      <c r="F1419" s="32">
        <v>27.25</v>
      </c>
      <c r="G1419" s="33"/>
      <c r="H1419" s="39">
        <f t="shared" si="167"/>
        <v>0</v>
      </c>
    </row>
    <row r="1420" ht="15.0" customHeight="1">
      <c r="A1420" s="35" t="s">
        <v>1756</v>
      </c>
      <c r="B1420" s="28"/>
      <c r="C1420" s="37">
        <v>5.0</v>
      </c>
      <c r="D1420" s="30">
        <v>3.76029591077E12</v>
      </c>
      <c r="E1420" s="38">
        <v>5.25</v>
      </c>
      <c r="F1420" s="32">
        <v>26.25</v>
      </c>
      <c r="G1420" s="33"/>
      <c r="H1420" s="39">
        <f t="shared" si="167"/>
        <v>0</v>
      </c>
    </row>
    <row r="1421" ht="15.0" customHeight="1">
      <c r="A1421" s="27" t="s">
        <v>1757</v>
      </c>
      <c r="B1421" s="28"/>
      <c r="C1421" s="29"/>
      <c r="D1421" s="30"/>
      <c r="E1421" s="31"/>
      <c r="F1421" s="32"/>
      <c r="G1421" s="33"/>
      <c r="H1421" s="39"/>
    </row>
    <row r="1422" ht="15.0" customHeight="1">
      <c r="A1422" s="35" t="s">
        <v>1758</v>
      </c>
      <c r="B1422" s="28"/>
      <c r="C1422" s="37">
        <v>5.0</v>
      </c>
      <c r="D1422" s="30">
        <v>3.760295910916E12</v>
      </c>
      <c r="E1422" s="38">
        <v>1.9</v>
      </c>
      <c r="F1422" s="32">
        <v>9.5</v>
      </c>
      <c r="G1422" s="33"/>
      <c r="H1422" s="39">
        <f t="shared" ref="H1422:H1423" si="168">G1422*F1422</f>
        <v>0</v>
      </c>
    </row>
    <row r="1423" ht="15.0" customHeight="1">
      <c r="A1423" s="35" t="s">
        <v>1759</v>
      </c>
      <c r="B1423" s="28"/>
      <c r="C1423" s="37">
        <v>1.0</v>
      </c>
      <c r="D1423" s="30">
        <v>3.760295910893E12</v>
      </c>
      <c r="E1423" s="38">
        <v>9.9</v>
      </c>
      <c r="F1423" s="32">
        <v>9.9</v>
      </c>
      <c r="G1423" s="33"/>
      <c r="H1423" s="39">
        <f t="shared" si="168"/>
        <v>0</v>
      </c>
    </row>
    <row r="1424" ht="15.0" customHeight="1">
      <c r="A1424" s="27" t="s">
        <v>1760</v>
      </c>
      <c r="B1424" s="28"/>
      <c r="C1424" s="29"/>
      <c r="D1424" s="30"/>
      <c r="E1424" s="31"/>
      <c r="F1424" s="32"/>
      <c r="G1424" s="33"/>
      <c r="H1424" s="39"/>
    </row>
    <row r="1425" ht="15.0" customHeight="1">
      <c r="A1425" s="35" t="s">
        <v>1761</v>
      </c>
      <c r="B1425" s="28"/>
      <c r="C1425" s="37">
        <v>10.0</v>
      </c>
      <c r="D1425" s="30">
        <v>3.701705600706E12</v>
      </c>
      <c r="E1425" s="38">
        <v>8.9</v>
      </c>
      <c r="F1425" s="32">
        <v>89.0</v>
      </c>
      <c r="G1425" s="177"/>
      <c r="H1425" s="39">
        <f t="shared" ref="H1425:H1434" si="169">G1425*F1425</f>
        <v>0</v>
      </c>
    </row>
    <row r="1426" ht="15.0" customHeight="1">
      <c r="A1426" s="35" t="s">
        <v>1762</v>
      </c>
      <c r="B1426" s="28"/>
      <c r="C1426" s="37">
        <v>10.0</v>
      </c>
      <c r="D1426" s="30">
        <v>3.701705600683E12</v>
      </c>
      <c r="E1426" s="38">
        <v>8.9</v>
      </c>
      <c r="F1426" s="32">
        <v>89.0</v>
      </c>
      <c r="G1426" s="177"/>
      <c r="H1426" s="39">
        <f t="shared" si="169"/>
        <v>0</v>
      </c>
    </row>
    <row r="1427" ht="15.0" customHeight="1">
      <c r="A1427" s="35" t="s">
        <v>1763</v>
      </c>
      <c r="B1427" s="28"/>
      <c r="C1427" s="37">
        <v>10.0</v>
      </c>
      <c r="D1427" s="30">
        <v>3.701705600669E12</v>
      </c>
      <c r="E1427" s="38">
        <v>8.9</v>
      </c>
      <c r="F1427" s="32">
        <v>89.0</v>
      </c>
      <c r="G1427" s="177"/>
      <c r="H1427" s="39">
        <f t="shared" si="169"/>
        <v>0</v>
      </c>
    </row>
    <row r="1428" ht="15.0" customHeight="1">
      <c r="A1428" s="35" t="s">
        <v>1764</v>
      </c>
      <c r="B1428" s="28"/>
      <c r="C1428" s="37">
        <v>10.0</v>
      </c>
      <c r="D1428" s="30">
        <v>3.701705600645E12</v>
      </c>
      <c r="E1428" s="38">
        <v>8.9</v>
      </c>
      <c r="F1428" s="32">
        <v>89.0</v>
      </c>
      <c r="G1428" s="177"/>
      <c r="H1428" s="39">
        <f t="shared" si="169"/>
        <v>0</v>
      </c>
    </row>
    <row r="1429" ht="15.0" customHeight="1">
      <c r="A1429" s="35" t="s">
        <v>1765</v>
      </c>
      <c r="B1429" s="28"/>
      <c r="C1429" s="37">
        <v>10.0</v>
      </c>
      <c r="D1429" s="30">
        <v>3.701705600621E12</v>
      </c>
      <c r="E1429" s="38">
        <v>8.9</v>
      </c>
      <c r="F1429" s="32">
        <v>89.0</v>
      </c>
      <c r="G1429" s="177"/>
      <c r="H1429" s="39">
        <f t="shared" si="169"/>
        <v>0</v>
      </c>
    </row>
    <row r="1430" ht="15.0" customHeight="1">
      <c r="A1430" s="35" t="s">
        <v>1766</v>
      </c>
      <c r="B1430" s="28"/>
      <c r="C1430" s="37">
        <v>10.0</v>
      </c>
      <c r="D1430" s="30">
        <v>3.701705600607E12</v>
      </c>
      <c r="E1430" s="38">
        <v>8.9</v>
      </c>
      <c r="F1430" s="32">
        <v>89.0</v>
      </c>
      <c r="G1430" s="177"/>
      <c r="H1430" s="39">
        <f t="shared" si="169"/>
        <v>0</v>
      </c>
    </row>
    <row r="1431" ht="15.0" customHeight="1">
      <c r="A1431" s="35" t="s">
        <v>1767</v>
      </c>
      <c r="B1431" s="28"/>
      <c r="C1431" s="37">
        <v>10.0</v>
      </c>
      <c r="D1431" s="30">
        <v>3.701705601802E12</v>
      </c>
      <c r="E1431" s="38">
        <v>8.9</v>
      </c>
      <c r="F1431" s="32">
        <v>89.0</v>
      </c>
      <c r="G1431" s="177"/>
      <c r="H1431" s="39">
        <f t="shared" si="169"/>
        <v>0</v>
      </c>
    </row>
    <row r="1432" ht="15.0" customHeight="1">
      <c r="A1432" s="35" t="s">
        <v>1768</v>
      </c>
      <c r="B1432" s="28"/>
      <c r="C1432" s="37">
        <v>10.0</v>
      </c>
      <c r="D1432" s="30">
        <v>3.70170560056E12</v>
      </c>
      <c r="E1432" s="38">
        <v>8.9</v>
      </c>
      <c r="F1432" s="32">
        <v>89.0</v>
      </c>
      <c r="G1432" s="177"/>
      <c r="H1432" s="39">
        <f t="shared" si="169"/>
        <v>0</v>
      </c>
    </row>
    <row r="1433" ht="15.0" customHeight="1">
      <c r="A1433" s="35" t="s">
        <v>1769</v>
      </c>
      <c r="B1433" s="28"/>
      <c r="C1433" s="37">
        <v>10.0</v>
      </c>
      <c r="D1433" s="30">
        <v>3.701705600546E12</v>
      </c>
      <c r="E1433" s="38">
        <v>8.9</v>
      </c>
      <c r="F1433" s="32">
        <v>89.0</v>
      </c>
      <c r="G1433" s="177"/>
      <c r="H1433" s="39">
        <f t="shared" si="169"/>
        <v>0</v>
      </c>
    </row>
    <row r="1434" ht="15.0" customHeight="1">
      <c r="A1434" s="35" t="s">
        <v>1770</v>
      </c>
      <c r="B1434" s="28"/>
      <c r="C1434" s="37">
        <v>10.0</v>
      </c>
      <c r="D1434" s="30">
        <v>3.701705600522E12</v>
      </c>
      <c r="E1434" s="38">
        <v>8.9</v>
      </c>
      <c r="F1434" s="32">
        <v>89.0</v>
      </c>
      <c r="G1434" s="177"/>
      <c r="H1434" s="39">
        <f t="shared" si="169"/>
        <v>0</v>
      </c>
    </row>
    <row r="1435" ht="15.0" customHeight="1">
      <c r="A1435" s="90" t="s">
        <v>1771</v>
      </c>
      <c r="B1435" s="91"/>
      <c r="C1435" s="92"/>
      <c r="D1435" s="93"/>
      <c r="E1435" s="31"/>
      <c r="F1435" s="32"/>
      <c r="G1435" s="33"/>
      <c r="H1435" s="39"/>
    </row>
    <row r="1436" ht="15.0" customHeight="1">
      <c r="A1436" s="178" t="s">
        <v>1772</v>
      </c>
      <c r="B1436" s="179"/>
      <c r="C1436" s="37">
        <v>5.0</v>
      </c>
      <c r="D1436" s="89">
        <v>6.977704950723E12</v>
      </c>
      <c r="E1436" s="55">
        <v>10.9</v>
      </c>
      <c r="F1436" s="59">
        <f t="shared" ref="F1436:F1445" si="170">C1436*E1436</f>
        <v>54.5</v>
      </c>
      <c r="G1436" s="177"/>
      <c r="H1436" s="39">
        <f t="shared" ref="H1436:H1445" si="171">G1436*F1436</f>
        <v>0</v>
      </c>
    </row>
    <row r="1437" ht="15.0" customHeight="1">
      <c r="A1437" s="180" t="s">
        <v>1773</v>
      </c>
      <c r="B1437" s="179"/>
      <c r="C1437" s="56">
        <v>5.0</v>
      </c>
      <c r="D1437" s="89" t="s">
        <v>1774</v>
      </c>
      <c r="E1437" s="55">
        <v>10.9</v>
      </c>
      <c r="F1437" s="59">
        <f t="shared" si="170"/>
        <v>54.5</v>
      </c>
      <c r="G1437" s="177"/>
      <c r="H1437" s="39">
        <f t="shared" si="171"/>
        <v>0</v>
      </c>
    </row>
    <row r="1438" ht="15.0" customHeight="1">
      <c r="A1438" s="180" t="s">
        <v>1775</v>
      </c>
      <c r="B1438" s="179"/>
      <c r="C1438" s="56">
        <v>5.0</v>
      </c>
      <c r="D1438" s="89" t="s">
        <v>1776</v>
      </c>
      <c r="E1438" s="55">
        <v>10.9</v>
      </c>
      <c r="F1438" s="59">
        <f t="shared" si="170"/>
        <v>54.5</v>
      </c>
      <c r="G1438" s="177"/>
      <c r="H1438" s="39">
        <f t="shared" si="171"/>
        <v>0</v>
      </c>
    </row>
    <row r="1439" ht="15.0" customHeight="1">
      <c r="A1439" s="94" t="s">
        <v>1777</v>
      </c>
      <c r="B1439" s="179"/>
      <c r="C1439" s="56">
        <v>5.0</v>
      </c>
      <c r="D1439" s="103" t="s">
        <v>1778</v>
      </c>
      <c r="E1439" s="55">
        <v>10.9</v>
      </c>
      <c r="F1439" s="59">
        <f t="shared" si="170"/>
        <v>54.5</v>
      </c>
      <c r="G1439" s="177"/>
      <c r="H1439" s="39">
        <f t="shared" si="171"/>
        <v>0</v>
      </c>
    </row>
    <row r="1440" ht="15.0" customHeight="1">
      <c r="A1440" s="94" t="s">
        <v>1779</v>
      </c>
      <c r="B1440" s="179"/>
      <c r="C1440" s="56">
        <v>5.0</v>
      </c>
      <c r="D1440" s="103" t="s">
        <v>1780</v>
      </c>
      <c r="E1440" s="55">
        <v>10.9</v>
      </c>
      <c r="F1440" s="59">
        <f t="shared" si="170"/>
        <v>54.5</v>
      </c>
      <c r="G1440" s="177"/>
      <c r="H1440" s="39">
        <f t="shared" si="171"/>
        <v>0</v>
      </c>
    </row>
    <row r="1441" ht="15.0" customHeight="1">
      <c r="A1441" s="178" t="s">
        <v>1781</v>
      </c>
      <c r="B1441" s="179"/>
      <c r="C1441" s="56">
        <v>5.0</v>
      </c>
      <c r="D1441" s="103">
        <v>6.977704950716E12</v>
      </c>
      <c r="E1441" s="55">
        <v>10.9</v>
      </c>
      <c r="F1441" s="59">
        <f t="shared" si="170"/>
        <v>54.5</v>
      </c>
      <c r="G1441" s="177"/>
      <c r="H1441" s="39">
        <f t="shared" si="171"/>
        <v>0</v>
      </c>
    </row>
    <row r="1442" ht="15.0" customHeight="1">
      <c r="A1442" s="178" t="s">
        <v>1782</v>
      </c>
      <c r="B1442" s="179"/>
      <c r="C1442" s="56">
        <v>5.0</v>
      </c>
      <c r="D1442" s="103">
        <v>6.97770495073E12</v>
      </c>
      <c r="E1442" s="55">
        <v>10.9</v>
      </c>
      <c r="F1442" s="59">
        <f t="shared" si="170"/>
        <v>54.5</v>
      </c>
      <c r="G1442" s="177"/>
      <c r="H1442" s="39">
        <f t="shared" si="171"/>
        <v>0</v>
      </c>
    </row>
    <row r="1443" ht="15.0" customHeight="1">
      <c r="A1443" s="94" t="s">
        <v>1783</v>
      </c>
      <c r="B1443" s="179"/>
      <c r="C1443" s="56">
        <v>5.0</v>
      </c>
      <c r="D1443" s="103" t="s">
        <v>1784</v>
      </c>
      <c r="E1443" s="55">
        <v>10.9</v>
      </c>
      <c r="F1443" s="59">
        <f t="shared" si="170"/>
        <v>54.5</v>
      </c>
      <c r="G1443" s="177"/>
      <c r="H1443" s="39">
        <f t="shared" si="171"/>
        <v>0</v>
      </c>
    </row>
    <row r="1444" ht="15.0" customHeight="1">
      <c r="A1444" s="94" t="s">
        <v>1769</v>
      </c>
      <c r="B1444" s="179"/>
      <c r="C1444" s="56">
        <v>5.0</v>
      </c>
      <c r="D1444" s="89" t="s">
        <v>1785</v>
      </c>
      <c r="E1444" s="55">
        <v>10.9</v>
      </c>
      <c r="F1444" s="59">
        <f t="shared" si="170"/>
        <v>54.5</v>
      </c>
      <c r="G1444" s="177"/>
      <c r="H1444" s="39">
        <f t="shared" si="171"/>
        <v>0</v>
      </c>
    </row>
    <row r="1445" ht="15.0" customHeight="1">
      <c r="A1445" s="94" t="s">
        <v>1786</v>
      </c>
      <c r="B1445" s="179"/>
      <c r="C1445" s="145">
        <v>5.0</v>
      </c>
      <c r="D1445" s="89">
        <v>6.977704950853E12</v>
      </c>
      <c r="E1445" s="55">
        <v>10.9</v>
      </c>
      <c r="F1445" s="59">
        <f t="shared" si="170"/>
        <v>54.5</v>
      </c>
      <c r="G1445" s="177"/>
      <c r="H1445" s="39">
        <f t="shared" si="171"/>
        <v>0</v>
      </c>
    </row>
    <row r="1446" ht="15.0" customHeight="1">
      <c r="A1446" s="90" t="s">
        <v>1787</v>
      </c>
      <c r="B1446" s="91"/>
      <c r="C1446" s="92"/>
      <c r="D1446" s="93"/>
      <c r="E1446" s="31"/>
      <c r="F1446" s="32"/>
      <c r="G1446" s="33"/>
      <c r="H1446" s="39"/>
    </row>
    <row r="1447" ht="15.0" customHeight="1">
      <c r="A1447" s="27" t="s">
        <v>1788</v>
      </c>
      <c r="B1447" s="28"/>
      <c r="C1447" s="29"/>
      <c r="D1447" s="30"/>
      <c r="E1447" s="31"/>
      <c r="F1447" s="32"/>
      <c r="G1447" s="33"/>
      <c r="H1447" s="39"/>
    </row>
    <row r="1448" ht="15.0" customHeight="1">
      <c r="A1448" s="35" t="s">
        <v>1789</v>
      </c>
      <c r="B1448" s="36" t="s">
        <v>1790</v>
      </c>
      <c r="C1448" s="37">
        <v>10.0</v>
      </c>
      <c r="D1448" s="30">
        <v>9.501281137443E12</v>
      </c>
      <c r="E1448" s="38">
        <v>6.0</v>
      </c>
      <c r="F1448" s="32">
        <v>60.0</v>
      </c>
      <c r="G1448" s="33"/>
      <c r="H1448" s="39">
        <f t="shared" ref="H1448:H1456" si="172">G1448*F1448</f>
        <v>0</v>
      </c>
    </row>
    <row r="1449" ht="15.0" customHeight="1">
      <c r="A1449" s="35" t="s">
        <v>1791</v>
      </c>
      <c r="B1449" s="36" t="s">
        <v>1792</v>
      </c>
      <c r="C1449" s="37">
        <v>10.0</v>
      </c>
      <c r="D1449" s="30">
        <v>9.502291465366E12</v>
      </c>
      <c r="E1449" s="38">
        <v>12.0</v>
      </c>
      <c r="F1449" s="32">
        <v>120.0</v>
      </c>
      <c r="G1449" s="33"/>
      <c r="H1449" s="39">
        <f t="shared" si="172"/>
        <v>0</v>
      </c>
    </row>
    <row r="1450" ht="15.0" customHeight="1">
      <c r="A1450" s="35" t="s">
        <v>1793</v>
      </c>
      <c r="B1450" s="36" t="s">
        <v>1552</v>
      </c>
      <c r="C1450" s="37">
        <v>10.0</v>
      </c>
      <c r="D1450" s="30">
        <v>9.502697524728E12</v>
      </c>
      <c r="E1450" s="38">
        <v>20.0</v>
      </c>
      <c r="F1450" s="32">
        <v>200.0</v>
      </c>
      <c r="G1450" s="33"/>
      <c r="H1450" s="39">
        <f t="shared" si="172"/>
        <v>0</v>
      </c>
    </row>
    <row r="1451" ht="15.0" customHeight="1">
      <c r="A1451" s="35" t="s">
        <v>1794</v>
      </c>
      <c r="B1451" s="36" t="s">
        <v>1792</v>
      </c>
      <c r="C1451" s="37">
        <v>10.0</v>
      </c>
      <c r="D1451" s="30">
        <v>9.503491481279E12</v>
      </c>
      <c r="E1451" s="38">
        <v>6.0</v>
      </c>
      <c r="F1451" s="32">
        <v>60.0</v>
      </c>
      <c r="G1451" s="33"/>
      <c r="H1451" s="39">
        <f t="shared" si="172"/>
        <v>0</v>
      </c>
    </row>
    <row r="1452" ht="15.0" customHeight="1">
      <c r="A1452" s="35" t="s">
        <v>1795</v>
      </c>
      <c r="B1452" s="36" t="s">
        <v>1552</v>
      </c>
      <c r="C1452" s="37">
        <v>10.0</v>
      </c>
      <c r="D1452" s="30">
        <v>9.503788676142E12</v>
      </c>
      <c r="E1452" s="38">
        <v>9.0</v>
      </c>
      <c r="F1452" s="32">
        <v>90.0</v>
      </c>
      <c r="G1452" s="33"/>
      <c r="H1452" s="39">
        <f t="shared" si="172"/>
        <v>0</v>
      </c>
    </row>
    <row r="1453" ht="15.0" customHeight="1">
      <c r="A1453" s="35" t="s">
        <v>1796</v>
      </c>
      <c r="B1453" s="36" t="s">
        <v>1279</v>
      </c>
      <c r="C1453" s="37">
        <v>5.0</v>
      </c>
      <c r="D1453" s="30">
        <v>9.504619134152E12</v>
      </c>
      <c r="E1453" s="38">
        <v>13.0</v>
      </c>
      <c r="F1453" s="32">
        <v>65.0</v>
      </c>
      <c r="G1453" s="33"/>
      <c r="H1453" s="39">
        <f t="shared" si="172"/>
        <v>0</v>
      </c>
    </row>
    <row r="1454" ht="15.0" customHeight="1">
      <c r="A1454" s="35" t="s">
        <v>1797</v>
      </c>
      <c r="B1454" s="36" t="s">
        <v>1798</v>
      </c>
      <c r="C1454" s="37">
        <v>1000.0</v>
      </c>
      <c r="D1454" s="30">
        <v>9.505143739196E12</v>
      </c>
      <c r="E1454" s="38">
        <v>0.55</v>
      </c>
      <c r="F1454" s="32">
        <v>550.0</v>
      </c>
      <c r="G1454" s="33"/>
      <c r="H1454" s="39">
        <f t="shared" si="172"/>
        <v>0</v>
      </c>
    </row>
    <row r="1455" ht="15.0" customHeight="1">
      <c r="A1455" s="35" t="s">
        <v>1799</v>
      </c>
      <c r="B1455" s="36" t="s">
        <v>1798</v>
      </c>
      <c r="C1455" s="37">
        <v>2000.0</v>
      </c>
      <c r="D1455" s="30">
        <v>9.505716117956E12</v>
      </c>
      <c r="E1455" s="38">
        <v>0.5</v>
      </c>
      <c r="F1455" s="32">
        <v>1000.0</v>
      </c>
      <c r="G1455" s="33"/>
      <c r="H1455" s="39">
        <f t="shared" si="172"/>
        <v>0</v>
      </c>
    </row>
    <row r="1456" ht="15.0" customHeight="1">
      <c r="A1456" s="35" t="s">
        <v>1800</v>
      </c>
      <c r="B1456" s="36" t="s">
        <v>1798</v>
      </c>
      <c r="C1456" s="37">
        <v>5000.0</v>
      </c>
      <c r="D1456" s="30">
        <v>9.506127444273E12</v>
      </c>
      <c r="E1456" s="38">
        <v>0.45</v>
      </c>
      <c r="F1456" s="32">
        <v>2250.0</v>
      </c>
      <c r="G1456" s="33"/>
      <c r="H1456" s="39">
        <f t="shared" si="172"/>
        <v>0</v>
      </c>
    </row>
    <row r="1457" ht="15.0" customHeight="1">
      <c r="A1457" s="27" t="s">
        <v>1801</v>
      </c>
      <c r="B1457" s="28"/>
      <c r="C1457" s="29"/>
      <c r="D1457" s="30"/>
      <c r="E1457" s="31"/>
      <c r="F1457" s="32"/>
      <c r="G1457" s="33"/>
      <c r="H1457" s="39"/>
    </row>
    <row r="1458" ht="15.0" customHeight="1">
      <c r="A1458" s="35" t="s">
        <v>1802</v>
      </c>
      <c r="B1458" s="36" t="s">
        <v>1798</v>
      </c>
      <c r="C1458" s="37">
        <v>55.0</v>
      </c>
      <c r="D1458" s="30">
        <v>3.76019602475E12</v>
      </c>
      <c r="E1458" s="38">
        <v>1.65</v>
      </c>
      <c r="F1458" s="32">
        <v>90.75</v>
      </c>
      <c r="G1458" s="33"/>
      <c r="H1458" s="39">
        <f t="shared" ref="H1458:H1461" si="173">G1458*F1458</f>
        <v>0</v>
      </c>
    </row>
    <row r="1459" ht="15.0" customHeight="1">
      <c r="A1459" s="43" t="s">
        <v>1803</v>
      </c>
      <c r="B1459" s="36" t="s">
        <v>1804</v>
      </c>
      <c r="C1459" s="37">
        <v>55.0</v>
      </c>
      <c r="D1459" s="47" t="s">
        <v>1805</v>
      </c>
      <c r="E1459" s="38">
        <v>1.85</v>
      </c>
      <c r="F1459" s="32">
        <v>101.75</v>
      </c>
      <c r="G1459" s="33"/>
      <c r="H1459" s="39">
        <f t="shared" si="173"/>
        <v>0</v>
      </c>
    </row>
    <row r="1460" ht="15.0" customHeight="1">
      <c r="A1460" s="35" t="s">
        <v>1806</v>
      </c>
      <c r="B1460" s="36" t="s">
        <v>1798</v>
      </c>
      <c r="C1460" s="37">
        <v>55.0</v>
      </c>
      <c r="D1460" s="30">
        <v>3.760196024996E12</v>
      </c>
      <c r="E1460" s="38">
        <v>1.75</v>
      </c>
      <c r="F1460" s="32">
        <v>96.25</v>
      </c>
      <c r="G1460" s="33"/>
      <c r="H1460" s="39">
        <f t="shared" si="173"/>
        <v>0</v>
      </c>
    </row>
    <row r="1461" ht="15.0" customHeight="1">
      <c r="A1461" s="35" t="s">
        <v>1807</v>
      </c>
      <c r="B1461" s="36" t="s">
        <v>1808</v>
      </c>
      <c r="C1461" s="37">
        <v>10.0</v>
      </c>
      <c r="D1461" s="30">
        <v>3.130852402374E12</v>
      </c>
      <c r="E1461" s="38">
        <v>4.95</v>
      </c>
      <c r="F1461" s="32">
        <v>49.5</v>
      </c>
      <c r="G1461" s="33"/>
      <c r="H1461" s="39">
        <f t="shared" si="173"/>
        <v>0</v>
      </c>
    </row>
    <row r="1462" ht="15.0" customHeight="1">
      <c r="A1462" s="102"/>
      <c r="C1462" s="102"/>
      <c r="D1462" s="181" t="s">
        <v>1809</v>
      </c>
      <c r="E1462" s="182"/>
      <c r="F1462" s="183"/>
      <c r="G1462" s="184">
        <f t="shared" ref="G1462:H1462" si="174">SUM(G6:G1461)</f>
        <v>0</v>
      </c>
      <c r="H1462" s="185">
        <f t="shared" si="174"/>
        <v>0</v>
      </c>
      <c r="I1462" s="186" t="s">
        <v>9</v>
      </c>
    </row>
    <row r="1463" ht="15.75" customHeight="1">
      <c r="A1463" s="102"/>
      <c r="C1463" s="102"/>
      <c r="D1463" s="187"/>
      <c r="E1463" s="102"/>
      <c r="G1463" s="188"/>
    </row>
    <row r="1464" ht="15.75" customHeight="1">
      <c r="A1464" s="102"/>
      <c r="C1464" s="102"/>
      <c r="D1464" s="187"/>
      <c r="E1464" s="102"/>
      <c r="G1464" s="188"/>
    </row>
    <row r="1465" ht="15.75" customHeight="1">
      <c r="A1465" s="102"/>
      <c r="C1465" s="102"/>
      <c r="D1465" s="187"/>
      <c r="E1465" s="102"/>
      <c r="G1465" s="188"/>
    </row>
    <row r="1466" ht="15.75" customHeight="1">
      <c r="A1466" s="102"/>
      <c r="C1466" s="102"/>
      <c r="D1466" s="187"/>
      <c r="E1466" s="102"/>
      <c r="G1466" s="188"/>
    </row>
    <row r="1467" ht="15.75" customHeight="1">
      <c r="A1467" s="102"/>
      <c r="C1467" s="102"/>
      <c r="D1467" s="187"/>
      <c r="E1467" s="102"/>
      <c r="G1467" s="188"/>
    </row>
    <row r="1468" ht="15.75" customHeight="1">
      <c r="A1468" s="102"/>
      <c r="C1468" s="102"/>
      <c r="D1468" s="187"/>
      <c r="E1468" s="102"/>
      <c r="G1468" s="188"/>
    </row>
    <row r="1469" ht="15.75" customHeight="1">
      <c r="A1469" s="102"/>
      <c r="C1469" s="102"/>
      <c r="D1469" s="187"/>
      <c r="E1469" s="102"/>
      <c r="G1469" s="188"/>
    </row>
    <row r="1470" ht="15.75" customHeight="1">
      <c r="A1470" s="102"/>
      <c r="C1470" s="102"/>
      <c r="D1470" s="187"/>
      <c r="E1470" s="102"/>
      <c r="G1470" s="188"/>
    </row>
    <row r="1471" ht="15.75" customHeight="1">
      <c r="A1471" s="102"/>
      <c r="C1471" s="102"/>
      <c r="D1471" s="187"/>
      <c r="E1471" s="102"/>
      <c r="G1471" s="188"/>
    </row>
    <row r="1472" ht="15.75" customHeight="1">
      <c r="A1472" s="102"/>
      <c r="C1472" s="102"/>
      <c r="D1472" s="187"/>
      <c r="E1472" s="102"/>
      <c r="G1472" s="188"/>
    </row>
    <row r="1473" ht="15.75" customHeight="1">
      <c r="A1473" s="102"/>
      <c r="C1473" s="102"/>
      <c r="D1473" s="187"/>
      <c r="E1473" s="102"/>
      <c r="G1473" s="188"/>
    </row>
    <row r="1474" ht="15.75" customHeight="1">
      <c r="A1474" s="102"/>
      <c r="C1474" s="102"/>
      <c r="D1474" s="187"/>
      <c r="E1474" s="102"/>
      <c r="G1474" s="188"/>
    </row>
    <row r="1475" ht="15.75" customHeight="1">
      <c r="A1475" s="102"/>
      <c r="C1475" s="102"/>
      <c r="D1475" s="187"/>
      <c r="E1475" s="102"/>
      <c r="G1475" s="188"/>
    </row>
    <row r="1476" ht="15.75" customHeight="1">
      <c r="A1476" s="102"/>
      <c r="C1476" s="102"/>
      <c r="D1476" s="187"/>
      <c r="E1476" s="102"/>
      <c r="G1476" s="188"/>
    </row>
    <row r="1477" ht="15.75" customHeight="1">
      <c r="A1477" s="102"/>
      <c r="C1477" s="102"/>
      <c r="D1477" s="187"/>
      <c r="E1477" s="102"/>
      <c r="G1477" s="188"/>
    </row>
    <row r="1478" ht="15.75" customHeight="1">
      <c r="A1478" s="102"/>
      <c r="C1478" s="102"/>
      <c r="D1478" s="187"/>
      <c r="E1478" s="102"/>
      <c r="G1478" s="188"/>
    </row>
    <row r="1479" ht="15.75" customHeight="1">
      <c r="A1479" s="102"/>
      <c r="C1479" s="102"/>
      <c r="D1479" s="187"/>
      <c r="E1479" s="102"/>
      <c r="G1479" s="188"/>
    </row>
    <row r="1480" ht="15.75" customHeight="1">
      <c r="A1480" s="102"/>
      <c r="C1480" s="102"/>
      <c r="D1480" s="187"/>
      <c r="E1480" s="102"/>
      <c r="G1480" s="188"/>
    </row>
    <row r="1481" ht="15.75" customHeight="1">
      <c r="A1481" s="102"/>
      <c r="C1481" s="102"/>
      <c r="D1481" s="187"/>
      <c r="E1481" s="102"/>
      <c r="G1481" s="188"/>
    </row>
    <row r="1482" ht="15.75" customHeight="1">
      <c r="A1482" s="102"/>
      <c r="C1482" s="102"/>
      <c r="D1482" s="187"/>
      <c r="E1482" s="102"/>
      <c r="G1482" s="188"/>
    </row>
    <row r="1483" ht="15.75" customHeight="1">
      <c r="A1483" s="102"/>
      <c r="C1483" s="102"/>
      <c r="D1483" s="187"/>
      <c r="E1483" s="102"/>
      <c r="G1483" s="188"/>
    </row>
    <row r="1484" ht="15.75" customHeight="1">
      <c r="A1484" s="102"/>
      <c r="C1484" s="102"/>
      <c r="D1484" s="187"/>
      <c r="E1484" s="102"/>
      <c r="G1484" s="188"/>
    </row>
    <row r="1485" ht="15.75" customHeight="1">
      <c r="A1485" s="102"/>
      <c r="C1485" s="102"/>
      <c r="D1485" s="187"/>
      <c r="E1485" s="102"/>
      <c r="G1485" s="188"/>
    </row>
    <row r="1486" ht="15.75" customHeight="1">
      <c r="A1486" s="102"/>
      <c r="C1486" s="102"/>
      <c r="D1486" s="187"/>
      <c r="E1486" s="102"/>
      <c r="G1486" s="188"/>
    </row>
    <row r="1487" ht="15.75" customHeight="1">
      <c r="A1487" s="102"/>
      <c r="C1487" s="102"/>
      <c r="D1487" s="187"/>
      <c r="E1487" s="102"/>
      <c r="G1487" s="188"/>
    </row>
    <row r="1488" ht="15.75" customHeight="1">
      <c r="A1488" s="102"/>
      <c r="C1488" s="102"/>
      <c r="D1488" s="187"/>
      <c r="E1488" s="102"/>
      <c r="G1488" s="188"/>
    </row>
    <row r="1489" ht="15.75" customHeight="1">
      <c r="A1489" s="102"/>
      <c r="C1489" s="102"/>
      <c r="D1489" s="187"/>
      <c r="E1489" s="102"/>
      <c r="G1489" s="188"/>
    </row>
    <row r="1490" ht="15.75" customHeight="1">
      <c r="A1490" s="102"/>
      <c r="C1490" s="102"/>
      <c r="D1490" s="187"/>
      <c r="E1490" s="102"/>
      <c r="G1490" s="188"/>
    </row>
    <row r="1491" ht="15.75" customHeight="1">
      <c r="A1491" s="102"/>
      <c r="C1491" s="102"/>
      <c r="D1491" s="187"/>
      <c r="E1491" s="102"/>
      <c r="G1491" s="188"/>
    </row>
    <row r="1492" ht="15.75" customHeight="1">
      <c r="A1492" s="102"/>
      <c r="C1492" s="102"/>
      <c r="D1492" s="187"/>
      <c r="E1492" s="102"/>
      <c r="G1492" s="188"/>
    </row>
    <row r="1493" ht="15.75" customHeight="1">
      <c r="A1493" s="102"/>
      <c r="C1493" s="102"/>
      <c r="D1493" s="187"/>
      <c r="E1493" s="102"/>
      <c r="G1493" s="188"/>
    </row>
    <row r="1494" ht="15.75" customHeight="1">
      <c r="A1494" s="102"/>
      <c r="C1494" s="102"/>
      <c r="D1494" s="187"/>
      <c r="E1494" s="102"/>
      <c r="G1494" s="188"/>
    </row>
    <row r="1495" ht="15.75" customHeight="1">
      <c r="A1495" s="102"/>
      <c r="C1495" s="102"/>
      <c r="D1495" s="187"/>
      <c r="E1495" s="102"/>
      <c r="G1495" s="188"/>
    </row>
    <row r="1496" ht="15.75" customHeight="1">
      <c r="A1496" s="102"/>
      <c r="C1496" s="102"/>
      <c r="D1496" s="187"/>
      <c r="E1496" s="102"/>
      <c r="G1496" s="188"/>
    </row>
    <row r="1497" ht="15.75" customHeight="1">
      <c r="A1497" s="102"/>
      <c r="C1497" s="102"/>
      <c r="D1497" s="187"/>
      <c r="E1497" s="102"/>
      <c r="G1497" s="188"/>
    </row>
    <row r="1498" ht="15.75" customHeight="1">
      <c r="A1498" s="102"/>
      <c r="C1498" s="102"/>
      <c r="D1498" s="187"/>
      <c r="E1498" s="102"/>
      <c r="G1498" s="188"/>
    </row>
    <row r="1499" ht="15.75" customHeight="1">
      <c r="A1499" s="102"/>
      <c r="C1499" s="102"/>
      <c r="D1499" s="187"/>
      <c r="E1499" s="102"/>
      <c r="G1499" s="188"/>
    </row>
    <row r="1500" ht="15.75" customHeight="1">
      <c r="A1500" s="102"/>
      <c r="C1500" s="102"/>
      <c r="D1500" s="187"/>
      <c r="E1500" s="102"/>
      <c r="G1500" s="188"/>
    </row>
    <row r="1501" ht="15.75" customHeight="1">
      <c r="A1501" s="102"/>
      <c r="C1501" s="102"/>
      <c r="D1501" s="187"/>
      <c r="E1501" s="102"/>
      <c r="G1501" s="188"/>
    </row>
    <row r="1502" ht="15.75" customHeight="1">
      <c r="A1502" s="102"/>
      <c r="C1502" s="102"/>
      <c r="D1502" s="187"/>
      <c r="E1502" s="102"/>
      <c r="G1502" s="188"/>
    </row>
    <row r="1503" ht="15.75" customHeight="1">
      <c r="A1503" s="102"/>
      <c r="C1503" s="102"/>
      <c r="D1503" s="187"/>
      <c r="E1503" s="102"/>
      <c r="G1503" s="188"/>
    </row>
    <row r="1504" ht="15.75" customHeight="1">
      <c r="A1504" s="102"/>
      <c r="C1504" s="102"/>
      <c r="D1504" s="187"/>
      <c r="E1504" s="102"/>
      <c r="G1504" s="188"/>
    </row>
    <row r="1505" ht="15.75" customHeight="1">
      <c r="A1505" s="102"/>
      <c r="C1505" s="102"/>
      <c r="D1505" s="187"/>
      <c r="E1505" s="102"/>
      <c r="G1505" s="188"/>
    </row>
    <row r="1506" ht="15.75" customHeight="1">
      <c r="A1506" s="102"/>
      <c r="C1506" s="102"/>
      <c r="D1506" s="187"/>
      <c r="E1506" s="102"/>
      <c r="G1506" s="188"/>
    </row>
    <row r="1507" ht="15.75" customHeight="1">
      <c r="A1507" s="102"/>
      <c r="C1507" s="102"/>
      <c r="D1507" s="187"/>
      <c r="E1507" s="102"/>
      <c r="G1507" s="188"/>
    </row>
    <row r="1508" ht="15.75" customHeight="1">
      <c r="A1508" s="102"/>
      <c r="C1508" s="102"/>
      <c r="D1508" s="187"/>
      <c r="E1508" s="102"/>
      <c r="G1508" s="188"/>
    </row>
    <row r="1509" ht="15.75" customHeight="1">
      <c r="A1509" s="102"/>
      <c r="C1509" s="102"/>
      <c r="D1509" s="187"/>
      <c r="E1509" s="102"/>
      <c r="G1509" s="188"/>
    </row>
    <row r="1510" ht="15.75" customHeight="1">
      <c r="A1510" s="102"/>
      <c r="C1510" s="102"/>
      <c r="D1510" s="187"/>
      <c r="E1510" s="102"/>
      <c r="G1510" s="188"/>
    </row>
    <row r="1511" ht="15.75" customHeight="1">
      <c r="A1511" s="102"/>
      <c r="C1511" s="102"/>
      <c r="D1511" s="187"/>
      <c r="E1511" s="102"/>
      <c r="G1511" s="188"/>
    </row>
    <row r="1512" ht="15.75" customHeight="1">
      <c r="A1512" s="102"/>
      <c r="C1512" s="102"/>
      <c r="D1512" s="187"/>
      <c r="E1512" s="102"/>
      <c r="G1512" s="188"/>
    </row>
    <row r="1513" ht="15.75" customHeight="1">
      <c r="A1513" s="102"/>
      <c r="C1513" s="102"/>
      <c r="D1513" s="187"/>
      <c r="E1513" s="102"/>
      <c r="G1513" s="188"/>
    </row>
    <row r="1514" ht="15.75" customHeight="1">
      <c r="A1514" s="102"/>
      <c r="C1514" s="102"/>
      <c r="D1514" s="187"/>
      <c r="E1514" s="102"/>
      <c r="G1514" s="188"/>
    </row>
    <row r="1515">
      <c r="C1515" s="102"/>
      <c r="D1515" s="189"/>
      <c r="E1515" s="102"/>
    </row>
  </sheetData>
  <mergeCells count="3">
    <mergeCell ref="D1:E1"/>
    <mergeCell ref="A2:F2"/>
    <mergeCell ref="D1462:F1462"/>
  </mergeCells>
  <printOptions/>
  <pageMargins bottom="0.7480314960629921" footer="0.0" header="0.0" left="0.8267716535433072" right="0.7086614173228347" top="0.7480314960629921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2025-10-22T13:36:56Z</dcterms:created>
  <dc:creator>Agathe Colin</dc:creator>
</cp:coreProperties>
</file>